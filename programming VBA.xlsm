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brah\Desktop\פרויקט תפי2\"/>
    </mc:Choice>
  </mc:AlternateContent>
  <xr:revisionPtr revIDLastSave="0" documentId="13_ncr:1_{5F6197F7-5A22-4E00-A8DA-320F8DF6BA37}" xr6:coauthVersionLast="47" xr6:coauthVersionMax="47" xr10:uidLastSave="{00000000-0000-0000-0000-000000000000}"/>
  <bookViews>
    <workbookView xWindow="6240" yWindow="2445" windowWidth="28800" windowHeight="15435" xr2:uid="{00000000-000D-0000-FFFF-FFFF00000000}"/>
  </bookViews>
  <sheets>
    <sheet name="Input-Output" sheetId="4" r:id="rId1"/>
    <sheet name="NotNecessarily" sheetId="10" state="hidden" r:id="rId2"/>
    <sheet name="BranchBound" sheetId="9" state="hidden" r:id="rId3"/>
    <sheet name="DecisionCheck" sheetId="7" state="hidden" r:id="rId4"/>
    <sheet name="WSPT" sheetId="5" state="hidden" r:id="rId5"/>
    <sheet name="dj+dj'wj" sheetId="6" state="hidden" r:id="rId6"/>
  </sheets>
  <functionGroups builtInGroupCount="19"/>
  <definedNames>
    <definedName name="_xlop.array1" hidden="1" xlm="1">#NAME?</definedName>
    <definedName name="_xlop.array2" hidden="1" xlm="1">#NAME?</definedName>
    <definedName name="_xlop.col" hidden="1" xlm="1">#NAME?</definedName>
    <definedName name="_xlpm.array1" hidden="1" xlm="1">#NAME?</definedName>
    <definedName name="_xlpm.array2" hidden="1" xlm="1">#NAME?</definedName>
    <definedName name="_xlpm.array3" hidden="1" xlm="1">#NAME?</definedName>
    <definedName name="_xlpm.col" hidden="1" xlm="1">#NAME?</definedName>
    <definedName name="_xlpm.txt" hidden="1" xlm="1">#NAME?</definedName>
    <definedName name="MakePermutations">_xlfn.LAMBDA(_xlpm.array1,_xlpm.array2,_xlfn.TOCOL(_xlpm.array1&amp;","&amp;TRANSPOSE(_xlpm.array2)))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7" l="1"/>
  <c r="B7" i="7" s="1"/>
  <c r="B8" i="7" s="1"/>
  <c r="J6" i="6"/>
  <c r="E6" i="6"/>
  <c r="D6" i="6"/>
  <c r="F6" i="6"/>
  <c r="G6" i="6"/>
  <c r="P6" i="6"/>
  <c r="B6" i="6"/>
  <c r="C6" i="6"/>
  <c r="M6" i="6"/>
  <c r="H6" i="6"/>
  <c r="O6" i="6"/>
  <c r="K6" i="6"/>
  <c r="L6" i="6"/>
  <c r="N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I6" i="6"/>
  <c r="B7" i="6"/>
  <c r="B7" i="5"/>
  <c r="B8" i="5" s="1"/>
  <c r="B9" i="5" s="1"/>
  <c r="H6" i="5"/>
  <c r="C6" i="5"/>
  <c r="I6" i="5"/>
  <c r="O6" i="5"/>
  <c r="G6" i="5"/>
  <c r="M6" i="5"/>
  <c r="F6" i="5"/>
  <c r="J6" i="5"/>
  <c r="K6" i="5"/>
  <c r="D6" i="5"/>
  <c r="B6" i="5"/>
  <c r="N6" i="5"/>
  <c r="P6" i="5"/>
  <c r="L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E6" i="5"/>
  <c r="B8" i="6" l="1"/>
  <c r="B9" i="6" s="1"/>
  <c r="B10" i="6"/>
  <c r="B10" i="5"/>
  <c r="B9" i="7"/>
  <c r="C6" i="7"/>
  <c r="C7" i="6"/>
  <c r="C10" i="6" s="1"/>
  <c r="C7" i="5"/>
  <c r="C10" i="5" s="1"/>
  <c r="D6" i="7" l="1"/>
  <c r="D7" i="7" s="1"/>
  <c r="D8" i="7" s="1"/>
  <c r="C9" i="7"/>
  <c r="C8" i="6"/>
  <c r="C9" i="6" s="1"/>
  <c r="D7" i="6"/>
  <c r="D10" i="6" s="1"/>
  <c r="C8" i="5"/>
  <c r="C9" i="5" s="1"/>
  <c r="D7" i="5"/>
  <c r="D10" i="5" s="1"/>
  <c r="E6" i="7" l="1"/>
  <c r="E7" i="7" s="1"/>
  <c r="E8" i="7" s="1"/>
  <c r="D9" i="7"/>
  <c r="D8" i="6"/>
  <c r="D9" i="6" s="1"/>
  <c r="E7" i="6"/>
  <c r="E10" i="6" s="1"/>
  <c r="E7" i="5"/>
  <c r="E10" i="5" s="1"/>
  <c r="D8" i="5"/>
  <c r="D9" i="5" s="1"/>
  <c r="F6" i="7" l="1"/>
  <c r="F7" i="7" s="1"/>
  <c r="F8" i="7" s="1"/>
  <c r="E9" i="7"/>
  <c r="C7" i="7"/>
  <c r="C8" i="7" s="1"/>
  <c r="E8" i="6"/>
  <c r="E9" i="6" s="1"/>
  <c r="F7" i="6"/>
  <c r="F10" i="6" s="1"/>
  <c r="F7" i="5"/>
  <c r="F10" i="5" s="1"/>
  <c r="E8" i="5"/>
  <c r="E9" i="5" s="1"/>
  <c r="G6" i="7" l="1"/>
  <c r="F9" i="7"/>
  <c r="G7" i="6"/>
  <c r="G10" i="6" s="1"/>
  <c r="F8" i="6"/>
  <c r="F9" i="6" s="1"/>
  <c r="G7" i="5"/>
  <c r="G10" i="5" s="1"/>
  <c r="F8" i="5"/>
  <c r="F9" i="5" s="1"/>
  <c r="H6" i="7" l="1"/>
  <c r="H7" i="7" s="1"/>
  <c r="H8" i="7" s="1"/>
  <c r="G9" i="7"/>
  <c r="G7" i="7"/>
  <c r="G8" i="7" s="1"/>
  <c r="H7" i="6"/>
  <c r="H10" i="6" s="1"/>
  <c r="G8" i="6"/>
  <c r="G9" i="6" s="1"/>
  <c r="H7" i="5"/>
  <c r="H10" i="5" s="1"/>
  <c r="G8" i="5"/>
  <c r="G9" i="5" s="1"/>
  <c r="I6" i="7" l="1"/>
  <c r="I7" i="7" s="1"/>
  <c r="I8" i="7" s="1"/>
  <c r="H9" i="7"/>
  <c r="H8" i="6"/>
  <c r="H9" i="6" s="1"/>
  <c r="I7" i="6"/>
  <c r="I10" i="6" s="1"/>
  <c r="I7" i="5"/>
  <c r="I10" i="5" s="1"/>
  <c r="H8" i="5"/>
  <c r="H9" i="5" s="1"/>
  <c r="J6" i="7" l="1"/>
  <c r="J7" i="7" s="1"/>
  <c r="J8" i="7" s="1"/>
  <c r="I9" i="7"/>
  <c r="I8" i="6"/>
  <c r="I9" i="6" s="1"/>
  <c r="J7" i="6"/>
  <c r="J10" i="6" s="1"/>
  <c r="J7" i="5"/>
  <c r="J10" i="5" s="1"/>
  <c r="I8" i="5"/>
  <c r="I9" i="5" s="1"/>
  <c r="K6" i="7" l="1"/>
  <c r="K7" i="7" s="1"/>
  <c r="K8" i="7" s="1"/>
  <c r="J9" i="7"/>
  <c r="J8" i="6"/>
  <c r="J9" i="6" s="1"/>
  <c r="K7" i="6"/>
  <c r="K10" i="6" s="1"/>
  <c r="K7" i="5"/>
  <c r="K10" i="5" s="1"/>
  <c r="J8" i="5"/>
  <c r="J9" i="5" s="1"/>
  <c r="L6" i="7" l="1"/>
  <c r="L7" i="7" s="1"/>
  <c r="L8" i="7" s="1"/>
  <c r="K9" i="7"/>
  <c r="K8" i="6"/>
  <c r="K9" i="6" s="1"/>
  <c r="L7" i="6"/>
  <c r="L10" i="6" s="1"/>
  <c r="L7" i="5"/>
  <c r="L10" i="5" s="1"/>
  <c r="K8" i="5"/>
  <c r="K9" i="5" s="1"/>
  <c r="M6" i="7" l="1"/>
  <c r="L9" i="7"/>
  <c r="L8" i="6"/>
  <c r="L9" i="6" s="1"/>
  <c r="M7" i="6"/>
  <c r="M10" i="6" s="1"/>
  <c r="M7" i="5"/>
  <c r="M10" i="5" s="1"/>
  <c r="L8" i="5"/>
  <c r="L9" i="5" s="1"/>
  <c r="N6" i="7" l="1"/>
  <c r="M9" i="7"/>
  <c r="M7" i="7"/>
  <c r="M8" i="7" s="1"/>
  <c r="M8" i="6"/>
  <c r="M9" i="6" s="1"/>
  <c r="N7" i="6"/>
  <c r="N10" i="6" s="1"/>
  <c r="N7" i="5"/>
  <c r="N10" i="5" s="1"/>
  <c r="M8" i="5"/>
  <c r="M9" i="5" s="1"/>
  <c r="O6" i="7" l="1"/>
  <c r="N9" i="7"/>
  <c r="N7" i="7"/>
  <c r="N8" i="7" s="1"/>
  <c r="O7" i="6"/>
  <c r="O10" i="6" s="1"/>
  <c r="N8" i="6"/>
  <c r="N9" i="6" s="1"/>
  <c r="O7" i="5"/>
  <c r="O10" i="5" s="1"/>
  <c r="N8" i="5"/>
  <c r="N9" i="5" s="1"/>
  <c r="P6" i="7" l="1"/>
  <c r="O9" i="7"/>
  <c r="O7" i="7"/>
  <c r="O8" i="7" s="1"/>
  <c r="P7" i="6"/>
  <c r="P10" i="6" s="1"/>
  <c r="O8" i="6"/>
  <c r="O9" i="6" s="1"/>
  <c r="P7" i="5"/>
  <c r="P10" i="5" s="1"/>
  <c r="O8" i="5"/>
  <c r="O9" i="5" s="1"/>
  <c r="Q6" i="7" l="1"/>
  <c r="P9" i="7"/>
  <c r="P7" i="7"/>
  <c r="P8" i="7" s="1"/>
  <c r="P8" i="6"/>
  <c r="P9" i="6" s="1"/>
  <c r="Q7" i="6"/>
  <c r="Q10" i="6" s="1"/>
  <c r="Q7" i="5"/>
  <c r="Q10" i="5" s="1"/>
  <c r="P8" i="5"/>
  <c r="P9" i="5" s="1"/>
  <c r="R6" i="7" l="1"/>
  <c r="R7" i="7" s="1"/>
  <c r="R8" i="7" s="1"/>
  <c r="Q9" i="7"/>
  <c r="Q7" i="7"/>
  <c r="Q8" i="7" s="1"/>
  <c r="Q8" i="6"/>
  <c r="Q9" i="6" s="1"/>
  <c r="R7" i="6"/>
  <c r="R10" i="6" s="1"/>
  <c r="R7" i="5"/>
  <c r="R10" i="5" s="1"/>
  <c r="Q8" i="5"/>
  <c r="Q9" i="5" s="1"/>
  <c r="S6" i="7" l="1"/>
  <c r="R9" i="7"/>
  <c r="R8" i="6"/>
  <c r="R9" i="6" s="1"/>
  <c r="S7" i="6"/>
  <c r="S10" i="6" s="1"/>
  <c r="S7" i="5"/>
  <c r="S10" i="5" s="1"/>
  <c r="R8" i="5"/>
  <c r="R9" i="5" s="1"/>
  <c r="T6" i="7" l="1"/>
  <c r="T7" i="7" s="1"/>
  <c r="T8" i="7" s="1"/>
  <c r="S9" i="7"/>
  <c r="S7" i="7"/>
  <c r="S8" i="7" s="1"/>
  <c r="S8" i="6"/>
  <c r="S9" i="6" s="1"/>
  <c r="T7" i="6"/>
  <c r="T10" i="6" s="1"/>
  <c r="T7" i="5"/>
  <c r="T10" i="5" s="1"/>
  <c r="S8" i="5"/>
  <c r="S9" i="5" s="1"/>
  <c r="U6" i="7" l="1"/>
  <c r="U7" i="7" s="1"/>
  <c r="U8" i="7" s="1"/>
  <c r="T9" i="7"/>
  <c r="T8" i="6"/>
  <c r="T9" i="6" s="1"/>
  <c r="U7" i="6"/>
  <c r="U10" i="6" s="1"/>
  <c r="U7" i="5"/>
  <c r="U10" i="5" s="1"/>
  <c r="T8" i="5"/>
  <c r="T9" i="5" s="1"/>
  <c r="V6" i="7" l="1"/>
  <c r="U9" i="7"/>
  <c r="U8" i="6"/>
  <c r="U9" i="6" s="1"/>
  <c r="V7" i="6"/>
  <c r="V10" i="6" s="1"/>
  <c r="V7" i="5"/>
  <c r="V10" i="5" s="1"/>
  <c r="U8" i="5"/>
  <c r="U9" i="5" s="1"/>
  <c r="W6" i="7" l="1"/>
  <c r="W7" i="7" s="1"/>
  <c r="W8" i="7" s="1"/>
  <c r="V9" i="7"/>
  <c r="V7" i="7"/>
  <c r="V8" i="7" s="1"/>
  <c r="W7" i="6"/>
  <c r="W10" i="6" s="1"/>
  <c r="V8" i="6"/>
  <c r="V9" i="6" s="1"/>
  <c r="W7" i="5"/>
  <c r="W10" i="5" s="1"/>
  <c r="V8" i="5"/>
  <c r="V9" i="5" s="1"/>
  <c r="X6" i="7" l="1"/>
  <c r="X7" i="7" s="1"/>
  <c r="X8" i="7" s="1"/>
  <c r="W9" i="7"/>
  <c r="X7" i="6"/>
  <c r="X10" i="6" s="1"/>
  <c r="W8" i="6"/>
  <c r="W9" i="6" s="1"/>
  <c r="X7" i="5"/>
  <c r="X10" i="5" s="1"/>
  <c r="W8" i="5"/>
  <c r="W9" i="5" s="1"/>
  <c r="Y6" i="7" l="1"/>
  <c r="X9" i="7"/>
  <c r="X8" i="6"/>
  <c r="X9" i="6" s="1"/>
  <c r="Y7" i="6"/>
  <c r="Y10" i="6" s="1"/>
  <c r="Y7" i="5"/>
  <c r="Y10" i="5" s="1"/>
  <c r="X8" i="5"/>
  <c r="X9" i="5" s="1"/>
  <c r="Z6" i="7" l="1"/>
  <c r="Y9" i="7"/>
  <c r="Y7" i="7"/>
  <c r="Y8" i="7" s="1"/>
  <c r="Y8" i="6"/>
  <c r="Y9" i="6" s="1"/>
  <c r="Z7" i="6"/>
  <c r="Z10" i="6" s="1"/>
  <c r="Z7" i="5"/>
  <c r="Z10" i="5" s="1"/>
  <c r="Y8" i="5"/>
  <c r="Y9" i="5" s="1"/>
  <c r="AA6" i="7" l="1"/>
  <c r="Z9" i="7"/>
  <c r="Z7" i="7"/>
  <c r="Z8" i="7" s="1"/>
  <c r="Z8" i="6"/>
  <c r="Z9" i="6" s="1"/>
  <c r="AA7" i="6"/>
  <c r="AA10" i="6" s="1"/>
  <c r="AA7" i="5"/>
  <c r="AA10" i="5" s="1"/>
  <c r="Z8" i="5"/>
  <c r="Z9" i="5" s="1"/>
  <c r="AB6" i="7" l="1"/>
  <c r="AA9" i="7"/>
  <c r="AA7" i="7"/>
  <c r="AA8" i="7" s="1"/>
  <c r="AA8" i="6"/>
  <c r="AA9" i="6" s="1"/>
  <c r="AB7" i="6"/>
  <c r="AB10" i="6" s="1"/>
  <c r="AB7" i="5"/>
  <c r="AB10" i="5" s="1"/>
  <c r="AA8" i="5"/>
  <c r="AA9" i="5" s="1"/>
  <c r="AC6" i="7" l="1"/>
  <c r="AB9" i="7"/>
  <c r="AB7" i="7"/>
  <c r="AB8" i="7" s="1"/>
  <c r="AB8" i="6"/>
  <c r="AB9" i="6" s="1"/>
  <c r="AC7" i="6"/>
  <c r="AC10" i="6" s="1"/>
  <c r="AC7" i="5"/>
  <c r="AC10" i="5" s="1"/>
  <c r="AB8" i="5"/>
  <c r="AB9" i="5" s="1"/>
  <c r="AD6" i="7" l="1"/>
  <c r="AC9" i="7"/>
  <c r="AC7" i="7"/>
  <c r="AC8" i="7" s="1"/>
  <c r="AC8" i="6"/>
  <c r="AC9" i="6" s="1"/>
  <c r="AD7" i="6"/>
  <c r="AD10" i="6" s="1"/>
  <c r="AD7" i="5"/>
  <c r="AD10" i="5" s="1"/>
  <c r="AC8" i="5"/>
  <c r="AC9" i="5" s="1"/>
  <c r="AE6" i="7" l="1"/>
  <c r="AD9" i="7"/>
  <c r="AD7" i="7"/>
  <c r="AD8" i="7" s="1"/>
  <c r="AE7" i="6"/>
  <c r="AE10" i="6" s="1"/>
  <c r="AD8" i="6"/>
  <c r="AD9" i="6" s="1"/>
  <c r="AE7" i="5"/>
  <c r="AE10" i="5" s="1"/>
  <c r="AD8" i="5"/>
  <c r="AD9" i="5" s="1"/>
  <c r="AF6" i="7" l="1"/>
  <c r="AE9" i="7"/>
  <c r="AE7" i="7"/>
  <c r="AE8" i="7" s="1"/>
  <c r="AF7" i="6"/>
  <c r="AF10" i="6" s="1"/>
  <c r="AE8" i="6"/>
  <c r="AE9" i="6" s="1"/>
  <c r="AF7" i="5"/>
  <c r="AF10" i="5" s="1"/>
  <c r="AE8" i="5"/>
  <c r="AE9" i="5" s="1"/>
  <c r="AG6" i="7" l="1"/>
  <c r="AG7" i="7" s="1"/>
  <c r="AG8" i="7" s="1"/>
  <c r="AF9" i="7"/>
  <c r="AF7" i="7"/>
  <c r="AF8" i="7" s="1"/>
  <c r="AF8" i="6"/>
  <c r="AF9" i="6" s="1"/>
  <c r="AG7" i="6"/>
  <c r="AG10" i="6" s="1"/>
  <c r="AG7" i="5"/>
  <c r="AG10" i="5" s="1"/>
  <c r="AF8" i="5"/>
  <c r="AF9" i="5" s="1"/>
  <c r="AH6" i="7" l="1"/>
  <c r="AH7" i="7" s="1"/>
  <c r="AH8" i="7" s="1"/>
  <c r="AG9" i="7"/>
  <c r="AG8" i="6"/>
  <c r="AG9" i="6" s="1"/>
  <c r="AH7" i="6"/>
  <c r="AH10" i="6" s="1"/>
  <c r="AH7" i="5"/>
  <c r="AH10" i="5" s="1"/>
  <c r="AG8" i="5"/>
  <c r="AG9" i="5" s="1"/>
  <c r="AI6" i="7" l="1"/>
  <c r="AI7" i="7" s="1"/>
  <c r="AI8" i="7" s="1"/>
  <c r="AH9" i="7"/>
  <c r="AH8" i="6"/>
  <c r="AH9" i="6" s="1"/>
  <c r="AI7" i="6"/>
  <c r="AI10" i="6" s="1"/>
  <c r="AI7" i="5"/>
  <c r="AI10" i="5" s="1"/>
  <c r="AH8" i="5"/>
  <c r="AH9" i="5" s="1"/>
  <c r="AJ6" i="7" l="1"/>
  <c r="AI9" i="7"/>
  <c r="AI8" i="6"/>
  <c r="AI9" i="6" s="1"/>
  <c r="AJ7" i="6"/>
  <c r="AJ10" i="6" s="1"/>
  <c r="AJ7" i="5"/>
  <c r="AJ10" i="5" s="1"/>
  <c r="AI8" i="5"/>
  <c r="AI9" i="5" s="1"/>
  <c r="AK6" i="7" l="1"/>
  <c r="AK7" i="7" s="1"/>
  <c r="AK8" i="7" s="1"/>
  <c r="AJ9" i="7"/>
  <c r="AJ7" i="7"/>
  <c r="AJ8" i="7" s="1"/>
  <c r="AJ8" i="6"/>
  <c r="AJ9" i="6" s="1"/>
  <c r="AK7" i="6"/>
  <c r="AK10" i="6" s="1"/>
  <c r="AK7" i="5"/>
  <c r="AK10" i="5" s="1"/>
  <c r="AJ8" i="5"/>
  <c r="AJ9" i="5" s="1"/>
  <c r="AL6" i="7" l="1"/>
  <c r="AK9" i="7"/>
  <c r="AK8" i="6"/>
  <c r="AK9" i="6" s="1"/>
  <c r="AL7" i="6"/>
  <c r="AL10" i="6" s="1"/>
  <c r="AL7" i="5"/>
  <c r="AL10" i="5" s="1"/>
  <c r="AK8" i="5"/>
  <c r="AK9" i="5" s="1"/>
  <c r="AM6" i="7" l="1"/>
  <c r="AL9" i="7"/>
  <c r="AL7" i="7"/>
  <c r="AL8" i="7" s="1"/>
  <c r="AM7" i="6"/>
  <c r="AM10" i="6" s="1"/>
  <c r="AL8" i="6"/>
  <c r="AL9" i="6" s="1"/>
  <c r="AM7" i="5"/>
  <c r="AM10" i="5" s="1"/>
  <c r="AL8" i="5"/>
  <c r="AL9" i="5" s="1"/>
  <c r="AN6" i="7" l="1"/>
  <c r="AM9" i="7"/>
  <c r="AM7" i="7"/>
  <c r="AM8" i="7" s="1"/>
  <c r="AM8" i="6"/>
  <c r="AM9" i="6" s="1"/>
  <c r="AN7" i="6"/>
  <c r="AN10" i="6" s="1"/>
  <c r="AN7" i="5"/>
  <c r="AN10" i="5" s="1"/>
  <c r="AM8" i="5"/>
  <c r="AM9" i="5" s="1"/>
  <c r="AO6" i="7" l="1"/>
  <c r="AO7" i="7" s="1"/>
  <c r="AO8" i="7" s="1"/>
  <c r="AN9" i="7"/>
  <c r="AN7" i="7"/>
  <c r="AN8" i="7" s="1"/>
  <c r="AN8" i="6"/>
  <c r="AN9" i="6" s="1"/>
  <c r="AO7" i="6"/>
  <c r="AO10" i="6" s="1"/>
  <c r="AO7" i="5"/>
  <c r="AO10" i="5" s="1"/>
  <c r="AN8" i="5"/>
  <c r="AN9" i="5" s="1"/>
  <c r="AP6" i="7" l="1"/>
  <c r="AO9" i="7"/>
  <c r="AO8" i="6"/>
  <c r="AO9" i="6" s="1"/>
  <c r="AP7" i="6"/>
  <c r="AP10" i="6" s="1"/>
  <c r="AP7" i="5"/>
  <c r="AP10" i="5" s="1"/>
  <c r="AO8" i="5"/>
  <c r="AO9" i="5" s="1"/>
  <c r="AQ6" i="7" l="1"/>
  <c r="AP9" i="7"/>
  <c r="AP7" i="7"/>
  <c r="AP8" i="7" s="1"/>
  <c r="AP8" i="6"/>
  <c r="AP9" i="6" s="1"/>
  <c r="AQ7" i="6"/>
  <c r="AQ10" i="6" s="1"/>
  <c r="AQ7" i="5"/>
  <c r="AQ10" i="5" s="1"/>
  <c r="AP8" i="5"/>
  <c r="AP9" i="5" s="1"/>
  <c r="AR6" i="7" l="1"/>
  <c r="AR7" i="7" s="1"/>
  <c r="AR8" i="7" s="1"/>
  <c r="AQ9" i="7"/>
  <c r="AQ7" i="7"/>
  <c r="AQ8" i="7" s="1"/>
  <c r="AQ8" i="6"/>
  <c r="AQ9" i="6" s="1"/>
  <c r="AR7" i="6"/>
  <c r="AR10" i="6" s="1"/>
  <c r="AR7" i="5"/>
  <c r="AR10" i="5" s="1"/>
  <c r="AQ8" i="5"/>
  <c r="AQ9" i="5" s="1"/>
  <c r="AS6" i="7" l="1"/>
  <c r="AR9" i="7"/>
  <c r="AR8" i="6"/>
  <c r="AR9" i="6" s="1"/>
  <c r="AS7" i="6"/>
  <c r="AS10" i="6" s="1"/>
  <c r="AS7" i="5"/>
  <c r="AS10" i="5" s="1"/>
  <c r="AR8" i="5"/>
  <c r="AR9" i="5" s="1"/>
  <c r="AT6" i="7" l="1"/>
  <c r="AS9" i="7"/>
  <c r="AS7" i="7"/>
  <c r="AS8" i="7" s="1"/>
  <c r="AS8" i="6"/>
  <c r="AS9" i="6" s="1"/>
  <c r="AT7" i="6"/>
  <c r="AT10" i="6" s="1"/>
  <c r="AT7" i="5"/>
  <c r="AT10" i="5" s="1"/>
  <c r="AS8" i="5"/>
  <c r="AS9" i="5" s="1"/>
  <c r="AU6" i="7" l="1"/>
  <c r="AT9" i="7"/>
  <c r="AT7" i="7"/>
  <c r="AT8" i="7" s="1"/>
  <c r="AU7" i="6"/>
  <c r="AU10" i="6" s="1"/>
  <c r="AT8" i="6"/>
  <c r="AT9" i="6" s="1"/>
  <c r="AU7" i="5"/>
  <c r="AU10" i="5" s="1"/>
  <c r="AT8" i="5"/>
  <c r="AT9" i="5" s="1"/>
  <c r="AV6" i="7" l="1"/>
  <c r="AV7" i="7" s="1"/>
  <c r="AV8" i="7" s="1"/>
  <c r="AU9" i="7"/>
  <c r="AU7" i="7"/>
  <c r="AU8" i="7" s="1"/>
  <c r="AV7" i="6"/>
  <c r="AV10" i="6" s="1"/>
  <c r="AU8" i="6"/>
  <c r="AU9" i="6" s="1"/>
  <c r="AV7" i="5"/>
  <c r="AV10" i="5" s="1"/>
  <c r="AU8" i="5"/>
  <c r="AU9" i="5" s="1"/>
  <c r="AW6" i="7" l="1"/>
  <c r="AW7" i="7" s="1"/>
  <c r="AW8" i="7" s="1"/>
  <c r="AV9" i="7"/>
  <c r="AV8" i="6"/>
  <c r="AV9" i="6" s="1"/>
  <c r="AW7" i="6"/>
  <c r="AW10" i="6" s="1"/>
  <c r="AW7" i="5"/>
  <c r="AW10" i="5" s="1"/>
  <c r="AV8" i="5"/>
  <c r="AV9" i="5" s="1"/>
  <c r="AX6" i="7" l="1"/>
  <c r="AX7" i="7" s="1"/>
  <c r="AX8" i="7" s="1"/>
  <c r="AW9" i="7"/>
  <c r="AW8" i="6"/>
  <c r="AW9" i="6" s="1"/>
  <c r="AX7" i="6"/>
  <c r="AX10" i="6" s="1"/>
  <c r="AX7" i="5"/>
  <c r="AX10" i="5" s="1"/>
  <c r="AW8" i="5"/>
  <c r="AW9" i="5" s="1"/>
  <c r="AY6" i="7" l="1"/>
  <c r="AX9" i="7"/>
  <c r="AX8" i="6"/>
  <c r="AX9" i="6" s="1"/>
  <c r="AY7" i="6"/>
  <c r="AY7" i="5"/>
  <c r="AX8" i="5"/>
  <c r="AX9" i="5" s="1"/>
  <c r="AY8" i="6" l="1"/>
  <c r="AY9" i="6" s="1"/>
  <c r="AY10" i="6"/>
  <c r="AY8" i="5"/>
  <c r="AY9" i="5" s="1"/>
  <c r="AY10" i="5"/>
  <c r="AY9" i="7"/>
  <c r="AY7" i="7"/>
  <c r="AY8" i="7" s="1"/>
</calcChain>
</file>

<file path=xl/sharedStrings.xml><?xml version="1.0" encoding="utf-8"?>
<sst xmlns="http://schemas.openxmlformats.org/spreadsheetml/2006/main" count="45" uniqueCount="30">
  <si>
    <t>tjdj Matrix:</t>
  </si>
  <si>
    <t>j</t>
  </si>
  <si>
    <t>tj</t>
  </si>
  <si>
    <t>dj</t>
  </si>
  <si>
    <t>Assignment A</t>
  </si>
  <si>
    <t>[j]</t>
  </si>
  <si>
    <t>Solution Value:</t>
  </si>
  <si>
    <t>Assignment B</t>
  </si>
  <si>
    <t>Scheduling by Branch and Bound</t>
  </si>
  <si>
    <t>UB Value:</t>
  </si>
  <si>
    <t>Runtime Limit (X, in seconds):</t>
  </si>
  <si>
    <t>Scheduling by Heuristics</t>
  </si>
  <si>
    <t>d_j</t>
  </si>
  <si>
    <t>wj</t>
  </si>
  <si>
    <t>Scheduling by WSPT sorting</t>
  </si>
  <si>
    <t>Scheduling by (d_j+dj)/wj sorting</t>
  </si>
  <si>
    <t>tj/wj</t>
  </si>
  <si>
    <t>Cj</t>
  </si>
  <si>
    <t>T_j</t>
  </si>
  <si>
    <t>WjTj</t>
  </si>
  <si>
    <t>(dj+dj')/wj</t>
  </si>
  <si>
    <t>IF CJ&gt;D_j then 1</t>
  </si>
  <si>
    <t>Possible</t>
  </si>
  <si>
    <t>Qi</t>
  </si>
  <si>
    <t>WiTi/Lbi</t>
  </si>
  <si>
    <t>Level</t>
  </si>
  <si>
    <t>Array</t>
  </si>
  <si>
    <t>LB</t>
  </si>
  <si>
    <t>UB:</t>
  </si>
  <si>
    <t>Number of Jobs (n):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</si>
</sst>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1" fillId="0" borderId="0"/>
  </cellStyleXfs>
  <cellXfs count="29">
    <xf numFmtId="0" fontId="0" fillId="0" borderId="0" xfId="0"/>
    <xf numFmtId="0" fontId="4" fillId="3" borderId="0" xfId="0" applyFont="1" applyFill="1"/>
    <xf numFmtId="0" fontId="3" fillId="2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0" fillId="3" borderId="0" xfId="0" applyFill="1"/>
    <xf numFmtId="0" fontId="0" fillId="3" borderId="0" xfId="0" applyFill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4" fillId="6" borderId="0" xfId="0" applyFont="1" applyFill="1"/>
    <xf numFmtId="0" fontId="3" fillId="6" borderId="0" xfId="0" applyFont="1" applyFill="1"/>
    <xf numFmtId="0" fontId="0" fillId="8" borderId="0" xfId="0" applyFill="1" applyAlignment="1">
      <alignment horizontal="center"/>
    </xf>
    <xf numFmtId="0" fontId="0" fillId="0" borderId="1" xfId="0" applyBorder="1"/>
    <xf numFmtId="0" fontId="3" fillId="5" borderId="5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5" borderId="1" xfId="0" applyFont="1" applyFill="1" applyBorder="1"/>
    <xf numFmtId="0" fontId="3" fillId="5" borderId="4" xfId="0" applyFont="1" applyFill="1" applyBorder="1" applyAlignment="1">
      <alignment horizontal="left"/>
    </xf>
    <xf numFmtId="0" fontId="3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8" borderId="1" xfId="0" applyFill="1" applyBorder="1" applyAlignment="1">
      <alignment horizontal="center"/>
    </xf>
    <xf numFmtId="0" fontId="3" fillId="6" borderId="0" xfId="0" applyFont="1" applyFill="1" applyAlignment="1">
      <alignment horizontal="left"/>
    </xf>
    <xf numFmtId="0" fontId="4" fillId="6" borderId="0" xfId="0" applyFont="1" applyFill="1"/>
  </cellXfs>
  <cellStyles count="4">
    <cellStyle name="Normal" xfId="0" builtinId="0"/>
    <cellStyle name="Normal 2" xfId="1" xr:uid="{4A99671D-19A4-4B5F-87D4-9161C9304082}"/>
    <cellStyle name="Normal 2 2" xfId="3" xr:uid="{27D4EA7E-7FA8-4456-A28A-A59D9F3A63AC}"/>
    <cellStyle name="Normal 3" xfId="2" xr:uid="{7968BFE1-F259-4E0B-8204-7625C99019E5}"/>
  </cellStyles>
  <dxfs count="0"/>
  <tableStyles count="1" defaultTableStyle="TableStyleMedium9" defaultPivotStyle="PivotStyleLight16">
    <tableStyle name="Invisible" pivot="0" table="0" count="0" xr9:uid="{53530370-5B98-4C3A-8FE5-B2DE460F4A30}"/>
  </tableStyles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139949</xdr:colOff>
      <xdr:row>9</xdr:row>
      <xdr:rowOff>143749</xdr:rowOff>
    </xdr:from>
    <xdr:to>
      <xdr:col>12</xdr:col>
      <xdr:colOff>72216</xdr:colOff>
      <xdr:row>17</xdr:row>
      <xdr:rowOff>21169</xdr:rowOff>
    </xdr:to>
    <xdr:sp macro="[0]!SolveA" textlink="">
      <xdr:nvSpPr>
        <xdr:cNvPr id="2" name="פיצוץ 1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5949" y="1813425"/>
          <a:ext cx="1747620" cy="1311773"/>
        </a:xfrm>
        <a:prstGeom prst="irregularSeal1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1" anchor="ctr"/>
        <a:lstStyle/>
        <a:p>
          <a:pPr algn="ctr"/>
          <a:r>
            <a:rPr lang="en-US" sz="1400" b="1">
              <a:latin typeface="Tahoma" pitchFamily="34" charset="0"/>
              <a:ea typeface="Tahoma" pitchFamily="34" charset="0"/>
              <a:cs typeface="Tahoma" pitchFamily="34" charset="0"/>
            </a:rPr>
            <a:t>Solve</a:t>
          </a:r>
          <a:r>
            <a:rPr lang="en-US" sz="1400" b="1" baseline="0">
              <a:latin typeface="Tahoma" pitchFamily="34" charset="0"/>
              <a:ea typeface="Tahoma" pitchFamily="34" charset="0"/>
              <a:cs typeface="Tahoma" pitchFamily="34" charset="0"/>
            </a:rPr>
            <a:t> A</a:t>
          </a:r>
          <a:endParaRPr lang="he-IL" sz="1400" b="1"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xdr:twoCellAnchor>
    <xdr:from>
      <xdr:col>0</xdr:col>
      <xdr:colOff>74084</xdr:colOff>
      <xdr:row>10</xdr:row>
      <xdr:rowOff>90704</xdr:rowOff>
    </xdr:from>
    <xdr:to>
      <xdr:col>1</xdr:col>
      <xdr:colOff>74083</xdr:colOff>
      <xdr:row>15</xdr:row>
      <xdr:rowOff>69103</xdr:rowOff>
    </xdr:to>
    <xdr:sp macro="[0]!ClearAll" textlink="">
      <xdr:nvSpPr>
        <xdr:cNvPr id="3" name="ענן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4084" y="1939675"/>
          <a:ext cx="1255058" cy="874869"/>
        </a:xfrm>
        <a:prstGeom prst="cloud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1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Clear All</a:t>
          </a:r>
          <a:endParaRPr lang="he-IL" sz="1100" b="1">
            <a:solidFill>
              <a:schemeClr val="lt1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xdr:twoCellAnchor>
    <xdr:from>
      <xdr:col>12</xdr:col>
      <xdr:colOff>362199</xdr:colOff>
      <xdr:row>9</xdr:row>
      <xdr:rowOff>101415</xdr:rowOff>
    </xdr:from>
    <xdr:to>
      <xdr:col>15</xdr:col>
      <xdr:colOff>294466</xdr:colOff>
      <xdr:row>16</xdr:row>
      <xdr:rowOff>158751</xdr:rowOff>
    </xdr:to>
    <xdr:sp macro="[0]!SolveB" textlink="">
      <xdr:nvSpPr>
        <xdr:cNvPr id="4" name="פיצוץ 1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73552" y="1771091"/>
          <a:ext cx="1747620" cy="1312395"/>
        </a:xfrm>
        <a:prstGeom prst="irregularSeal1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rtlCol="1" anchor="ctr"/>
        <a:lstStyle/>
        <a:p>
          <a:pPr algn="ctr"/>
          <a:r>
            <a:rPr lang="en-US" sz="1400" b="1">
              <a:latin typeface="Tahoma" pitchFamily="34" charset="0"/>
              <a:ea typeface="Tahoma" pitchFamily="34" charset="0"/>
              <a:cs typeface="Tahoma" pitchFamily="34" charset="0"/>
            </a:rPr>
            <a:t>Solve</a:t>
          </a:r>
          <a:r>
            <a:rPr lang="en-US" sz="1400" b="1" baseline="0">
              <a:latin typeface="Tahoma" pitchFamily="34" charset="0"/>
              <a:ea typeface="Tahoma" pitchFamily="34" charset="0"/>
              <a:cs typeface="Tahoma" pitchFamily="34" charset="0"/>
            </a:rPr>
            <a:t> B</a:t>
          </a:r>
          <a:endParaRPr lang="he-IL" sz="1400" b="1"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xdr:twoCellAnchor>
    <xdr:from>
      <xdr:col>1</xdr:col>
      <xdr:colOff>201084</xdr:colOff>
      <xdr:row>10</xdr:row>
      <xdr:rowOff>92572</xdr:rowOff>
    </xdr:from>
    <xdr:to>
      <xdr:col>2</xdr:col>
      <xdr:colOff>604309</xdr:colOff>
      <xdr:row>15</xdr:row>
      <xdr:rowOff>81554</xdr:rowOff>
    </xdr:to>
    <xdr:sp macro="[0]!ClearInput" textlink="">
      <xdr:nvSpPr>
        <xdr:cNvPr id="8" name="ענן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456143" y="1941543"/>
          <a:ext cx="1008342" cy="885452"/>
        </a:xfrm>
        <a:prstGeom prst="cloud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1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Clear Input</a:t>
          </a:r>
          <a:endParaRPr lang="he-IL" sz="1100" b="1">
            <a:solidFill>
              <a:schemeClr val="lt1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xdr:twoCellAnchor>
    <xdr:from>
      <xdr:col>3</xdr:col>
      <xdr:colOff>63500</xdr:colOff>
      <xdr:row>10</xdr:row>
      <xdr:rowOff>124320</xdr:rowOff>
    </xdr:from>
    <xdr:to>
      <xdr:col>4</xdr:col>
      <xdr:colOff>592666</xdr:colOff>
      <xdr:row>15</xdr:row>
      <xdr:rowOff>133849</xdr:rowOff>
    </xdr:to>
    <xdr:sp macro="[0]!ClearOutput" textlink="">
      <xdr:nvSpPr>
        <xdr:cNvPr id="9" name="ענן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528794" y="1973291"/>
          <a:ext cx="1134284" cy="905999"/>
        </a:xfrm>
        <a:prstGeom prst="cloud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1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Clear </a:t>
          </a:r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Output</a:t>
          </a:r>
          <a:endParaRPr lang="he-IL" sz="1100" b="1">
            <a:solidFill>
              <a:schemeClr val="lt1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xdr:twoCellAnchor>
    <xdr:from>
      <xdr:col>5</xdr:col>
      <xdr:colOff>403414</xdr:colOff>
      <xdr:row>9</xdr:row>
      <xdr:rowOff>78441</xdr:rowOff>
    </xdr:from>
    <xdr:to>
      <xdr:col>8</xdr:col>
      <xdr:colOff>493059</xdr:colOff>
      <xdr:row>17</xdr:row>
      <xdr:rowOff>134471</xdr:rowOff>
    </xdr:to>
    <xdr:sp macro="[0]!Check_possible" textlink="">
      <xdr:nvSpPr>
        <xdr:cNvPr id="10" name="פיצוץ 1 1">
          <a:extLst>
            <a:ext uri="{FF2B5EF4-FFF2-40B4-BE49-F238E27FC236}">
              <a16:creationId xmlns:a16="http://schemas.microsoft.com/office/drawing/2014/main" id="{CAC1C80C-EF5D-477D-AD2E-B6AD0CD3F2B1}"/>
            </a:ext>
          </a:extLst>
        </xdr:cNvPr>
        <xdr:cNvSpPr/>
      </xdr:nvSpPr>
      <xdr:spPr>
        <a:xfrm>
          <a:off x="4078943" y="1748117"/>
          <a:ext cx="1904998" cy="1490383"/>
        </a:xfrm>
        <a:prstGeom prst="irregularSeal1">
          <a:avLst/>
        </a:prstGeom>
        <a:gradFill>
          <a:gsLst>
            <a:gs pos="100000">
              <a:schemeClr val="accent5">
                <a:lumMod val="60000"/>
                <a:lumOff val="40000"/>
              </a:schemeClr>
            </a:gs>
            <a:gs pos="100000">
              <a:schemeClr val="accent2">
                <a:tint val="37000"/>
                <a:satMod val="300000"/>
              </a:schemeClr>
            </a:gs>
            <a:gs pos="100000">
              <a:schemeClr val="accent2">
                <a:tint val="15000"/>
                <a:satMod val="350000"/>
              </a:schemeClr>
            </a:gs>
          </a:gsLst>
        </a:gra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1" anchor="t"/>
        <a:lstStyle/>
        <a:p>
          <a:pPr algn="ctr"/>
          <a:r>
            <a:rPr lang="en-US" sz="900" b="1">
              <a:latin typeface="Tahoma" pitchFamily="34" charset="0"/>
              <a:ea typeface="Tahoma" pitchFamily="34" charset="0"/>
              <a:cs typeface="Tahoma" pitchFamily="34" charset="0"/>
            </a:rPr>
            <a:t>Check for a possible solution</a:t>
          </a:r>
          <a:endParaRPr lang="he-IL" sz="900" b="1"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A1:AY55"/>
  <sheetViews>
    <sheetView tabSelected="1" zoomScaleNormal="100" workbookViewId="0">
      <selection activeCell="A2" sqref="A2"/>
    </sheetView>
  </sheetViews>
  <sheetFormatPr defaultColWidth="9" defaultRowHeight="14.25" x14ac:dyDescent="0.2"/>
  <cols>
    <col min="1" max="1" width="18.85546875" style="4" customWidth="1"/>
    <col min="2" max="2" width="9" style="1"/>
    <col min="3" max="3" width="11.7109375" style="1" bestFit="1" customWidth="1"/>
    <col min="4" max="16384" width="9" style="1"/>
  </cols>
  <sheetData>
    <row r="1" spans="1:51" x14ac:dyDescent="0.2">
      <c r="A1" s="27" t="s">
        <v>29</v>
      </c>
      <c r="B1" s="28"/>
      <c r="D1" s="16" t="s">
        <v>10</v>
      </c>
      <c r="E1" s="15"/>
      <c r="F1" s="15"/>
      <c r="G1" s="15"/>
    </row>
    <row r="2" spans="1:51" ht="15" x14ac:dyDescent="0.25">
      <c r="A2" s="13"/>
      <c r="D2" s="13"/>
    </row>
    <row r="3" spans="1:51" x14ac:dyDescent="0.2">
      <c r="A3" s="1"/>
    </row>
    <row r="4" spans="1:51" x14ac:dyDescent="0.2">
      <c r="A4" s="2" t="s">
        <v>0</v>
      </c>
    </row>
    <row r="5" spans="1:51" s="3" customFormat="1" x14ac:dyDescent="0.2">
      <c r="A5" s="8" t="s">
        <v>1</v>
      </c>
      <c r="B5" s="9">
        <v>1</v>
      </c>
      <c r="C5" s="9">
        <v>2</v>
      </c>
      <c r="D5" s="9">
        <v>3</v>
      </c>
      <c r="E5" s="9">
        <v>4</v>
      </c>
      <c r="F5" s="9">
        <v>5</v>
      </c>
      <c r="G5" s="9">
        <v>6</v>
      </c>
      <c r="H5" s="9">
        <v>7</v>
      </c>
      <c r="I5" s="9">
        <v>8</v>
      </c>
      <c r="J5" s="9">
        <v>9</v>
      </c>
      <c r="K5" s="9">
        <v>10</v>
      </c>
      <c r="L5" s="9">
        <v>11</v>
      </c>
      <c r="M5" s="9">
        <v>12</v>
      </c>
      <c r="N5" s="9">
        <v>13</v>
      </c>
      <c r="O5" s="9">
        <v>14</v>
      </c>
      <c r="P5" s="9">
        <v>15</v>
      </c>
      <c r="Q5" s="9">
        <v>16</v>
      </c>
      <c r="R5" s="9">
        <v>17</v>
      </c>
      <c r="S5" s="9">
        <v>18</v>
      </c>
      <c r="T5" s="9">
        <v>19</v>
      </c>
      <c r="U5" s="9">
        <v>20</v>
      </c>
      <c r="V5" s="9">
        <v>21</v>
      </c>
      <c r="W5" s="9">
        <v>22</v>
      </c>
      <c r="X5" s="9">
        <v>23</v>
      </c>
      <c r="Y5" s="9">
        <v>24</v>
      </c>
      <c r="Z5" s="9">
        <v>25</v>
      </c>
      <c r="AA5" s="9">
        <v>26</v>
      </c>
      <c r="AB5" s="9">
        <v>27</v>
      </c>
      <c r="AC5" s="9">
        <v>28</v>
      </c>
      <c r="AD5" s="9">
        <v>29</v>
      </c>
      <c r="AE5" s="9">
        <v>30</v>
      </c>
      <c r="AF5" s="9">
        <v>31</v>
      </c>
      <c r="AG5" s="9">
        <v>32</v>
      </c>
      <c r="AH5" s="9">
        <v>33</v>
      </c>
      <c r="AI5" s="9">
        <v>34</v>
      </c>
      <c r="AJ5" s="9">
        <v>35</v>
      </c>
      <c r="AK5" s="9">
        <v>36</v>
      </c>
      <c r="AL5" s="9">
        <v>37</v>
      </c>
      <c r="AM5" s="9">
        <v>38</v>
      </c>
      <c r="AN5" s="9">
        <v>39</v>
      </c>
      <c r="AO5" s="9">
        <v>40</v>
      </c>
      <c r="AP5" s="9">
        <v>41</v>
      </c>
      <c r="AQ5" s="9">
        <v>42</v>
      </c>
      <c r="AR5" s="9">
        <v>43</v>
      </c>
      <c r="AS5" s="9">
        <v>44</v>
      </c>
      <c r="AT5" s="9">
        <v>45</v>
      </c>
      <c r="AU5" s="9">
        <v>46</v>
      </c>
      <c r="AV5" s="9">
        <v>47</v>
      </c>
      <c r="AW5" s="9">
        <v>48</v>
      </c>
      <c r="AX5" s="9">
        <v>49</v>
      </c>
      <c r="AY5" s="9">
        <v>50</v>
      </c>
    </row>
    <row r="6" spans="1:51" ht="15" x14ac:dyDescent="0.25">
      <c r="A6" s="12" t="s">
        <v>2</v>
      </c>
      <c r="B6" s="26"/>
      <c r="C6" s="26"/>
      <c r="D6" s="26"/>
      <c r="E6" s="26"/>
      <c r="F6" s="26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8"/>
      <c r="AQ6" s="18"/>
      <c r="AR6" s="18"/>
      <c r="AS6" s="18"/>
      <c r="AT6" s="18"/>
      <c r="AU6" s="18"/>
      <c r="AV6" s="18"/>
      <c r="AW6" s="18"/>
      <c r="AX6" s="18"/>
      <c r="AY6" s="18"/>
    </row>
    <row r="7" spans="1:51" ht="15" x14ac:dyDescent="0.25">
      <c r="A7" s="12" t="s">
        <v>3</v>
      </c>
      <c r="B7" s="26"/>
      <c r="C7" s="26"/>
      <c r="D7" s="26"/>
      <c r="E7" s="26"/>
      <c r="F7" s="26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8"/>
      <c r="AQ7" s="18"/>
      <c r="AR7" s="18"/>
      <c r="AS7" s="18"/>
      <c r="AT7" s="18"/>
      <c r="AU7" s="18"/>
      <c r="AV7" s="18"/>
      <c r="AW7" s="18"/>
      <c r="AX7" s="18"/>
      <c r="AY7" s="18"/>
    </row>
    <row r="8" spans="1:51" ht="15" x14ac:dyDescent="0.25">
      <c r="A8" s="12" t="s">
        <v>12</v>
      </c>
      <c r="B8" s="26"/>
      <c r="C8" s="26"/>
      <c r="D8" s="26"/>
      <c r="E8" s="26"/>
      <c r="F8" s="26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8"/>
      <c r="AQ8" s="18"/>
      <c r="AR8" s="18"/>
      <c r="AS8" s="18"/>
      <c r="AT8" s="18"/>
      <c r="AU8" s="18"/>
      <c r="AV8" s="18"/>
      <c r="AW8" s="18"/>
      <c r="AX8" s="18"/>
      <c r="AY8" s="18"/>
    </row>
    <row r="9" spans="1:51" ht="15" x14ac:dyDescent="0.25">
      <c r="A9" s="12" t="s">
        <v>13</v>
      </c>
      <c r="B9" s="26"/>
      <c r="C9" s="26"/>
      <c r="D9" s="26"/>
      <c r="E9" s="26"/>
      <c r="F9" s="26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8"/>
      <c r="AQ9" s="18"/>
      <c r="AR9" s="18"/>
      <c r="AS9" s="18"/>
      <c r="AT9" s="18"/>
      <c r="AU9" s="18"/>
      <c r="AV9" s="18"/>
      <c r="AW9" s="18"/>
      <c r="AX9" s="18"/>
      <c r="AY9" s="18"/>
    </row>
    <row r="17" spans="1:51" x14ac:dyDescent="0.2">
      <c r="A17" s="24" t="s">
        <v>4</v>
      </c>
      <c r="B17" s="24"/>
      <c r="C17" s="24"/>
    </row>
    <row r="18" spans="1:51" x14ac:dyDescent="0.2">
      <c r="A18" s="23" t="s">
        <v>14</v>
      </c>
      <c r="B18" s="23"/>
      <c r="C18" s="23"/>
    </row>
    <row r="19" spans="1:51" s="3" customFormat="1" x14ac:dyDescent="0.2">
      <c r="A19" s="10" t="s">
        <v>5</v>
      </c>
      <c r="B19" s="11">
        <v>1</v>
      </c>
      <c r="C19" s="11">
        <v>2</v>
      </c>
      <c r="D19" s="11">
        <v>3</v>
      </c>
      <c r="E19" s="11">
        <v>4</v>
      </c>
      <c r="F19" s="11">
        <v>5</v>
      </c>
      <c r="G19" s="11">
        <v>6</v>
      </c>
      <c r="H19" s="11">
        <v>7</v>
      </c>
      <c r="I19" s="11">
        <v>8</v>
      </c>
      <c r="J19" s="11">
        <v>9</v>
      </c>
      <c r="K19" s="11">
        <v>10</v>
      </c>
      <c r="L19" s="11">
        <v>11</v>
      </c>
      <c r="M19" s="11">
        <v>12</v>
      </c>
      <c r="N19" s="11">
        <v>13</v>
      </c>
      <c r="O19" s="11">
        <v>14</v>
      </c>
      <c r="P19" s="11">
        <v>15</v>
      </c>
      <c r="Q19" s="11">
        <v>16</v>
      </c>
      <c r="R19" s="11">
        <v>17</v>
      </c>
      <c r="S19" s="11">
        <v>18</v>
      </c>
      <c r="T19" s="11">
        <v>19</v>
      </c>
      <c r="U19" s="11">
        <v>20</v>
      </c>
      <c r="V19" s="11">
        <v>21</v>
      </c>
      <c r="W19" s="11">
        <v>22</v>
      </c>
      <c r="X19" s="11">
        <v>23</v>
      </c>
      <c r="Y19" s="11">
        <v>24</v>
      </c>
      <c r="Z19" s="11">
        <v>25</v>
      </c>
      <c r="AA19" s="11">
        <v>26</v>
      </c>
      <c r="AB19" s="11">
        <v>27</v>
      </c>
      <c r="AC19" s="11">
        <v>28</v>
      </c>
      <c r="AD19" s="11">
        <v>29</v>
      </c>
      <c r="AE19" s="11">
        <v>30</v>
      </c>
      <c r="AF19" s="11">
        <v>31</v>
      </c>
      <c r="AG19" s="11">
        <v>32</v>
      </c>
      <c r="AH19" s="11">
        <v>33</v>
      </c>
      <c r="AI19" s="11">
        <v>34</v>
      </c>
      <c r="AJ19" s="11">
        <v>35</v>
      </c>
      <c r="AK19" s="11">
        <v>36</v>
      </c>
      <c r="AL19" s="11">
        <v>37</v>
      </c>
      <c r="AM19" s="11">
        <v>38</v>
      </c>
      <c r="AN19" s="11">
        <v>39</v>
      </c>
      <c r="AO19" s="11">
        <v>40</v>
      </c>
      <c r="AP19" s="11">
        <v>41</v>
      </c>
      <c r="AQ19" s="11">
        <v>42</v>
      </c>
      <c r="AR19" s="11">
        <v>43</v>
      </c>
      <c r="AS19" s="11">
        <v>44</v>
      </c>
      <c r="AT19" s="11">
        <v>45</v>
      </c>
      <c r="AU19" s="11">
        <v>46</v>
      </c>
      <c r="AV19" s="11">
        <v>47</v>
      </c>
      <c r="AW19" s="11">
        <v>48</v>
      </c>
      <c r="AX19" s="11">
        <v>49</v>
      </c>
      <c r="AY19" s="11">
        <v>50</v>
      </c>
    </row>
    <row r="20" spans="1:51" x14ac:dyDescent="0.2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5" x14ac:dyDescent="0.25">
      <c r="B21" s="7"/>
      <c r="C21" s="7"/>
      <c r="D21" s="7"/>
      <c r="E21" s="7"/>
      <c r="F21" s="7"/>
      <c r="G21" s="7"/>
      <c r="H21" s="7"/>
      <c r="I21" s="7"/>
      <c r="J21" s="7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1:51" ht="15" x14ac:dyDescent="0.25">
      <c r="A22" s="5" t="s">
        <v>6</v>
      </c>
      <c r="B22" s="17"/>
      <c r="C22" s="14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</row>
    <row r="23" spans="1:51" x14ac:dyDescent="0.2">
      <c r="A23" s="5"/>
    </row>
    <row r="24" spans="1:51" x14ac:dyDescent="0.2">
      <c r="A24" s="23" t="s">
        <v>15</v>
      </c>
      <c r="B24" s="23"/>
      <c r="C24" s="23"/>
    </row>
    <row r="25" spans="1:51" s="3" customFormat="1" x14ac:dyDescent="0.2">
      <c r="A25" s="10" t="s">
        <v>5</v>
      </c>
      <c r="B25" s="11">
        <v>1</v>
      </c>
      <c r="C25" s="11">
        <v>2</v>
      </c>
      <c r="D25" s="11">
        <v>3</v>
      </c>
      <c r="E25" s="11">
        <v>4</v>
      </c>
      <c r="F25" s="11">
        <v>5</v>
      </c>
      <c r="G25" s="11">
        <v>6</v>
      </c>
      <c r="H25" s="11">
        <v>7</v>
      </c>
      <c r="I25" s="11">
        <v>8</v>
      </c>
      <c r="J25" s="11">
        <v>9</v>
      </c>
      <c r="K25" s="11">
        <v>10</v>
      </c>
      <c r="L25" s="11">
        <v>11</v>
      </c>
      <c r="M25" s="11">
        <v>12</v>
      </c>
      <c r="N25" s="11">
        <v>13</v>
      </c>
      <c r="O25" s="11">
        <v>14</v>
      </c>
      <c r="P25" s="11">
        <v>15</v>
      </c>
      <c r="Q25" s="11">
        <v>16</v>
      </c>
      <c r="R25" s="11">
        <v>17</v>
      </c>
      <c r="S25" s="11">
        <v>18</v>
      </c>
      <c r="T25" s="11">
        <v>19</v>
      </c>
      <c r="U25" s="11">
        <v>20</v>
      </c>
      <c r="V25" s="11">
        <v>21</v>
      </c>
      <c r="W25" s="11">
        <v>22</v>
      </c>
      <c r="X25" s="11">
        <v>23</v>
      </c>
      <c r="Y25" s="11">
        <v>24</v>
      </c>
      <c r="Z25" s="11">
        <v>25</v>
      </c>
      <c r="AA25" s="11">
        <v>26</v>
      </c>
      <c r="AB25" s="11">
        <v>27</v>
      </c>
      <c r="AC25" s="11">
        <v>28</v>
      </c>
      <c r="AD25" s="11">
        <v>29</v>
      </c>
      <c r="AE25" s="11">
        <v>30</v>
      </c>
      <c r="AF25" s="11">
        <v>31</v>
      </c>
      <c r="AG25" s="11">
        <v>32</v>
      </c>
      <c r="AH25" s="11">
        <v>33</v>
      </c>
      <c r="AI25" s="11">
        <v>34</v>
      </c>
      <c r="AJ25" s="11">
        <v>35</v>
      </c>
      <c r="AK25" s="11">
        <v>36</v>
      </c>
      <c r="AL25" s="11">
        <v>37</v>
      </c>
      <c r="AM25" s="11">
        <v>38</v>
      </c>
      <c r="AN25" s="11">
        <v>39</v>
      </c>
      <c r="AO25" s="11">
        <v>40</v>
      </c>
      <c r="AP25" s="11">
        <v>41</v>
      </c>
      <c r="AQ25" s="11">
        <v>42</v>
      </c>
      <c r="AR25" s="11">
        <v>43</v>
      </c>
      <c r="AS25" s="11">
        <v>44</v>
      </c>
      <c r="AT25" s="11">
        <v>45</v>
      </c>
      <c r="AU25" s="11">
        <v>46</v>
      </c>
      <c r="AV25" s="11">
        <v>47</v>
      </c>
      <c r="AW25" s="11">
        <v>48</v>
      </c>
      <c r="AX25" s="11">
        <v>49</v>
      </c>
      <c r="AY25" s="11">
        <v>50</v>
      </c>
    </row>
    <row r="26" spans="1:51" x14ac:dyDescent="0.2"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5" x14ac:dyDescent="0.25">
      <c r="B27" s="7"/>
      <c r="C27" s="7"/>
      <c r="D27" s="7"/>
      <c r="E27" s="7"/>
      <c r="F27" s="7"/>
      <c r="G27" s="7"/>
      <c r="H27" s="7"/>
      <c r="I27" s="7"/>
      <c r="J27" s="7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</row>
    <row r="28" spans="1:51" ht="15" x14ac:dyDescent="0.25">
      <c r="A28" s="5" t="s">
        <v>6</v>
      </c>
      <c r="B28"/>
      <c r="C28" s="14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</row>
    <row r="29" spans="1:51" ht="15" x14ac:dyDescent="0.25">
      <c r="A29" s="5"/>
      <c r="E29" s="25"/>
      <c r="F29" s="25"/>
    </row>
    <row r="30" spans="1:51" x14ac:dyDescent="0.2">
      <c r="A30" s="23" t="s">
        <v>11</v>
      </c>
      <c r="B30" s="23"/>
      <c r="C30" s="23"/>
    </row>
    <row r="31" spans="1:51" s="3" customFormat="1" x14ac:dyDescent="0.2">
      <c r="A31" s="10" t="s">
        <v>5</v>
      </c>
      <c r="B31" s="11">
        <v>1</v>
      </c>
      <c r="C31" s="11">
        <v>2</v>
      </c>
      <c r="D31" s="11">
        <v>3</v>
      </c>
      <c r="E31" s="11">
        <v>4</v>
      </c>
      <c r="F31" s="11">
        <v>5</v>
      </c>
      <c r="G31" s="11">
        <v>6</v>
      </c>
      <c r="H31" s="11">
        <v>7</v>
      </c>
      <c r="I31" s="11">
        <v>8</v>
      </c>
      <c r="J31" s="11">
        <v>9</v>
      </c>
      <c r="K31" s="11">
        <v>10</v>
      </c>
      <c r="L31" s="11">
        <v>11</v>
      </c>
      <c r="M31" s="11">
        <v>12</v>
      </c>
      <c r="N31" s="11">
        <v>13</v>
      </c>
      <c r="O31" s="11">
        <v>14</v>
      </c>
      <c r="P31" s="11">
        <v>15</v>
      </c>
      <c r="Q31" s="11">
        <v>16</v>
      </c>
      <c r="R31" s="11">
        <v>17</v>
      </c>
      <c r="S31" s="11">
        <v>18</v>
      </c>
      <c r="T31" s="11">
        <v>19</v>
      </c>
      <c r="U31" s="11">
        <v>20</v>
      </c>
      <c r="V31" s="11">
        <v>21</v>
      </c>
      <c r="W31" s="11">
        <v>22</v>
      </c>
      <c r="X31" s="11">
        <v>23</v>
      </c>
      <c r="Y31" s="11">
        <v>24</v>
      </c>
      <c r="Z31" s="11">
        <v>25</v>
      </c>
      <c r="AA31" s="11">
        <v>26</v>
      </c>
      <c r="AB31" s="11">
        <v>27</v>
      </c>
      <c r="AC31" s="11">
        <v>28</v>
      </c>
      <c r="AD31" s="11">
        <v>29</v>
      </c>
      <c r="AE31" s="11">
        <v>30</v>
      </c>
      <c r="AF31" s="11">
        <v>31</v>
      </c>
      <c r="AG31" s="11">
        <v>32</v>
      </c>
      <c r="AH31" s="11">
        <v>33</v>
      </c>
      <c r="AI31" s="11">
        <v>34</v>
      </c>
      <c r="AJ31" s="11">
        <v>35</v>
      </c>
      <c r="AK31" s="11">
        <v>36</v>
      </c>
      <c r="AL31" s="11">
        <v>37</v>
      </c>
      <c r="AM31" s="11">
        <v>38</v>
      </c>
      <c r="AN31" s="11">
        <v>39</v>
      </c>
      <c r="AO31" s="11">
        <v>40</v>
      </c>
      <c r="AP31" s="11">
        <v>41</v>
      </c>
      <c r="AQ31" s="11">
        <v>42</v>
      </c>
      <c r="AR31" s="11">
        <v>43</v>
      </c>
      <c r="AS31" s="11">
        <v>44</v>
      </c>
      <c r="AT31" s="11">
        <v>45</v>
      </c>
      <c r="AU31" s="11">
        <v>46</v>
      </c>
      <c r="AV31" s="11">
        <v>47</v>
      </c>
      <c r="AW31" s="11">
        <v>48</v>
      </c>
      <c r="AX31" s="11">
        <v>49</v>
      </c>
      <c r="AY31" s="11">
        <v>50</v>
      </c>
    </row>
    <row r="32" spans="1:51" x14ac:dyDescent="0.2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5" x14ac:dyDescent="0.25">
      <c r="B33" s="7"/>
      <c r="C33" s="7"/>
      <c r="D33" s="7"/>
      <c r="E33" s="7"/>
      <c r="F33" s="7"/>
      <c r="G33" s="7"/>
      <c r="H33" s="7"/>
      <c r="I33" s="7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</row>
    <row r="34" spans="1:51" ht="15" x14ac:dyDescent="0.25">
      <c r="A34" s="5" t="s">
        <v>6</v>
      </c>
      <c r="B34" s="14"/>
      <c r="C34" s="14"/>
      <c r="D34" s="7"/>
      <c r="E34" s="7"/>
      <c r="F34" s="7"/>
      <c r="G34" s="7"/>
      <c r="H34" s="7"/>
      <c r="I34" s="7"/>
      <c r="J34" s="7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</row>
    <row r="35" spans="1:51" ht="15" x14ac:dyDescent="0.25">
      <c r="A35" s="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</row>
    <row r="36" spans="1:51" x14ac:dyDescent="0.2">
      <c r="A36" s="1"/>
    </row>
    <row r="37" spans="1:51" x14ac:dyDescent="0.2">
      <c r="A37" s="1"/>
    </row>
    <row r="38" spans="1:51" ht="15" x14ac:dyDescent="0.25">
      <c r="A38" s="5" t="s">
        <v>9</v>
      </c>
      <c r="B38" s="13"/>
    </row>
    <row r="39" spans="1:51" ht="15" x14ac:dyDescent="0.25">
      <c r="A39" s="5"/>
      <c r="B39" s="6"/>
      <c r="C39" s="7"/>
      <c r="D39" s="7"/>
      <c r="E39" s="7"/>
      <c r="F39" s="7"/>
      <c r="G39" s="7"/>
      <c r="H39" s="7"/>
      <c r="I39" s="7"/>
      <c r="J39" s="7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</row>
    <row r="40" spans="1:51" ht="15" x14ac:dyDescent="0.25">
      <c r="A40" s="1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</row>
    <row r="41" spans="1:51" ht="15" x14ac:dyDescent="0.25">
      <c r="A41" s="5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</row>
    <row r="42" spans="1:51" x14ac:dyDescent="0.2">
      <c r="C42" s="3"/>
    </row>
    <row r="43" spans="1:51" x14ac:dyDescent="0.2">
      <c r="A43" s="5"/>
    </row>
    <row r="44" spans="1:51" ht="15.75" customHeight="1" x14ac:dyDescent="0.2">
      <c r="A44" s="5"/>
    </row>
    <row r="45" spans="1:51" x14ac:dyDescent="0.2">
      <c r="A45" s="5"/>
    </row>
    <row r="46" spans="1:51" x14ac:dyDescent="0.2">
      <c r="A46" s="24" t="s">
        <v>7</v>
      </c>
      <c r="B46" s="24"/>
      <c r="C46" s="24"/>
    </row>
    <row r="47" spans="1:51" x14ac:dyDescent="0.2">
      <c r="A47" s="23" t="s">
        <v>8</v>
      </c>
      <c r="B47" s="23"/>
      <c r="C47" s="23"/>
    </row>
    <row r="48" spans="1:51" s="3" customFormat="1" x14ac:dyDescent="0.2">
      <c r="A48" s="10" t="s">
        <v>5</v>
      </c>
      <c r="B48" s="11">
        <v>1</v>
      </c>
      <c r="C48" s="11">
        <v>2</v>
      </c>
      <c r="D48" s="11">
        <v>3</v>
      </c>
      <c r="E48" s="11">
        <v>4</v>
      </c>
      <c r="F48" s="11">
        <v>5</v>
      </c>
      <c r="G48" s="11">
        <v>6</v>
      </c>
      <c r="H48" s="11">
        <v>7</v>
      </c>
      <c r="I48" s="11">
        <v>8</v>
      </c>
      <c r="J48" s="11">
        <v>9</v>
      </c>
      <c r="K48" s="11">
        <v>10</v>
      </c>
      <c r="L48" s="11">
        <v>11</v>
      </c>
      <c r="M48" s="11">
        <v>12</v>
      </c>
      <c r="N48" s="11">
        <v>13</v>
      </c>
      <c r="O48" s="11">
        <v>14</v>
      </c>
      <c r="P48" s="11">
        <v>15</v>
      </c>
      <c r="Q48" s="11">
        <v>16</v>
      </c>
      <c r="R48" s="11">
        <v>17</v>
      </c>
      <c r="S48" s="11">
        <v>18</v>
      </c>
      <c r="T48" s="11">
        <v>19</v>
      </c>
      <c r="U48" s="11">
        <v>20</v>
      </c>
      <c r="V48" s="11">
        <v>21</v>
      </c>
      <c r="W48" s="11">
        <v>22</v>
      </c>
      <c r="X48" s="11">
        <v>23</v>
      </c>
      <c r="Y48" s="11">
        <v>24</v>
      </c>
      <c r="Z48" s="11">
        <v>25</v>
      </c>
      <c r="AA48" s="11">
        <v>26</v>
      </c>
      <c r="AB48" s="11">
        <v>27</v>
      </c>
      <c r="AC48" s="11">
        <v>28</v>
      </c>
      <c r="AD48" s="11">
        <v>29</v>
      </c>
      <c r="AE48" s="11">
        <v>30</v>
      </c>
      <c r="AF48" s="11">
        <v>31</v>
      </c>
      <c r="AG48" s="11">
        <v>32</v>
      </c>
      <c r="AH48" s="11">
        <v>33</v>
      </c>
      <c r="AI48" s="11">
        <v>34</v>
      </c>
      <c r="AJ48" s="11">
        <v>35</v>
      </c>
      <c r="AK48" s="11">
        <v>36</v>
      </c>
      <c r="AL48" s="11">
        <v>37</v>
      </c>
      <c r="AM48" s="11">
        <v>38</v>
      </c>
      <c r="AN48" s="11">
        <v>39</v>
      </c>
      <c r="AO48" s="11">
        <v>40</v>
      </c>
      <c r="AP48" s="11">
        <v>41</v>
      </c>
      <c r="AQ48" s="11">
        <v>42</v>
      </c>
      <c r="AR48" s="11">
        <v>43</v>
      </c>
      <c r="AS48" s="11">
        <v>44</v>
      </c>
      <c r="AT48" s="11">
        <v>45</v>
      </c>
      <c r="AU48" s="11">
        <v>46</v>
      </c>
      <c r="AV48" s="11">
        <v>47</v>
      </c>
      <c r="AW48" s="11">
        <v>48</v>
      </c>
      <c r="AX48" s="11">
        <v>49</v>
      </c>
      <c r="AY48" s="11">
        <v>50</v>
      </c>
    </row>
    <row r="49" spans="1:51" ht="15" x14ac:dyDescent="0.25">
      <c r="B49" s="14"/>
      <c r="C49" s="14"/>
      <c r="D49" s="14"/>
      <c r="E49" s="14"/>
      <c r="F49" s="14"/>
      <c r="G49" s="14"/>
      <c r="H49" s="14"/>
      <c r="I49" s="14"/>
      <c r="J49" s="14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</row>
    <row r="51" spans="1:51" ht="15" x14ac:dyDescent="0.25">
      <c r="A51" s="5" t="s">
        <v>6</v>
      </c>
      <c r="B51" s="13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</row>
    <row r="53" spans="1:51" x14ac:dyDescent="0.2">
      <c r="A53" s="5"/>
    </row>
    <row r="54" spans="1:51" x14ac:dyDescent="0.2">
      <c r="A54" s="5"/>
    </row>
    <row r="55" spans="1:51" x14ac:dyDescent="0.2">
      <c r="A55" s="5"/>
    </row>
  </sheetData>
  <dataConsolidate/>
  <mergeCells count="7">
    <mergeCell ref="A47:C47"/>
    <mergeCell ref="A17:C17"/>
    <mergeCell ref="A18:C18"/>
    <mergeCell ref="A24:C24"/>
    <mergeCell ref="E29:F29"/>
    <mergeCell ref="A30:C30"/>
    <mergeCell ref="A46:C46"/>
  </mergeCell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A1B72-2619-48B3-B7CB-70260A5CE9D4}">
  <sheetPr codeName="Sheet5"/>
  <dimension ref="A1:C1"/>
  <sheetViews>
    <sheetView zoomScale="130" zoomScaleNormal="130" workbookViewId="0">
      <selection activeCell="A2" sqref="A2"/>
    </sheetView>
  </sheetViews>
  <sheetFormatPr defaultRowHeight="15" x14ac:dyDescent="0.25"/>
  <sheetData>
    <row r="1" spans="1:3" x14ac:dyDescent="0.25">
      <c r="A1" s="22" t="s">
        <v>27</v>
      </c>
      <c r="B1" s="22" t="s">
        <v>25</v>
      </c>
      <c r="C1" s="22" t="s">
        <v>26</v>
      </c>
    </row>
  </sheetData>
  <sortState xmlns:xlrd2="http://schemas.microsoft.com/office/spreadsheetml/2017/richdata2" ref="A2:C25">
    <sortCondition descending="1" ref="B1:B25"/>
    <sortCondition ref="A1:A2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DF820-6B2B-4261-8D3F-D4FEF3249682}">
  <sheetPr codeName="Sheet4"/>
  <dimension ref="A1:E1"/>
  <sheetViews>
    <sheetView zoomScale="130" zoomScaleNormal="130" workbookViewId="0">
      <selection activeCell="A2" sqref="A2"/>
    </sheetView>
  </sheetViews>
  <sheetFormatPr defaultRowHeight="15" x14ac:dyDescent="0.25"/>
  <sheetData>
    <row r="1" spans="1:5" x14ac:dyDescent="0.25">
      <c r="A1" s="20" t="s">
        <v>1</v>
      </c>
      <c r="B1" s="20" t="s">
        <v>23</v>
      </c>
      <c r="C1" s="20" t="s">
        <v>24</v>
      </c>
      <c r="D1" s="21"/>
      <c r="E1" s="21"/>
    </row>
  </sheetData>
  <sortState xmlns:xlrd2="http://schemas.microsoft.com/office/spreadsheetml/2017/richdata2" ref="A2:C2">
    <sortCondition ref="C1:C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1CC5-0D30-49A0-B6B4-99C853B200D2}">
  <sheetPr codeName="Sheet3"/>
  <dimension ref="A1:AY20"/>
  <sheetViews>
    <sheetView zoomScale="130" zoomScaleNormal="130" workbookViewId="0">
      <selection activeCell="B1" sqref="B1:F5"/>
    </sheetView>
  </sheetViews>
  <sheetFormatPr defaultRowHeight="15" x14ac:dyDescent="0.25"/>
  <cols>
    <col min="1" max="1" width="19.7109375" bestFit="1" customWidth="1"/>
  </cols>
  <sheetData>
    <row r="1" spans="1:51" x14ac:dyDescent="0.25">
      <c r="A1" s="8"/>
      <c r="B1" s="9">
        <v>2</v>
      </c>
      <c r="C1" s="9">
        <v>1</v>
      </c>
      <c r="D1" s="9">
        <v>4</v>
      </c>
      <c r="E1" s="9">
        <v>5</v>
      </c>
      <c r="F1" s="9">
        <v>3</v>
      </c>
      <c r="G1" s="9">
        <v>7</v>
      </c>
      <c r="H1" s="9">
        <v>9</v>
      </c>
      <c r="I1" s="9">
        <v>6</v>
      </c>
      <c r="J1" s="9">
        <v>12</v>
      </c>
      <c r="K1" s="9">
        <v>8</v>
      </c>
      <c r="L1" s="9">
        <v>13</v>
      </c>
      <c r="M1" s="9">
        <v>11</v>
      </c>
      <c r="N1" s="9">
        <v>15</v>
      </c>
      <c r="O1" s="9">
        <v>14</v>
      </c>
      <c r="P1" s="9">
        <v>10</v>
      </c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x14ac:dyDescent="0.25">
      <c r="A2" s="12"/>
      <c r="B2" s="14">
        <v>10</v>
      </c>
      <c r="C2" s="14">
        <v>5</v>
      </c>
      <c r="D2" s="14">
        <v>4</v>
      </c>
      <c r="E2" s="14">
        <v>3</v>
      </c>
      <c r="F2" s="14">
        <v>7</v>
      </c>
      <c r="G2" s="14">
        <v>13</v>
      </c>
      <c r="H2" s="14">
        <v>11</v>
      </c>
      <c r="I2" s="14">
        <v>12</v>
      </c>
      <c r="J2" s="14">
        <v>14</v>
      </c>
      <c r="K2" s="14">
        <v>10</v>
      </c>
      <c r="L2" s="14">
        <v>6</v>
      </c>
      <c r="M2" s="14">
        <v>7</v>
      </c>
      <c r="N2" s="14">
        <v>12</v>
      </c>
      <c r="O2" s="14">
        <v>4</v>
      </c>
      <c r="P2" s="14">
        <v>15</v>
      </c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8"/>
      <c r="AQ2" s="18"/>
      <c r="AR2" s="18"/>
      <c r="AS2" s="18"/>
      <c r="AT2" s="18"/>
      <c r="AU2" s="18"/>
      <c r="AV2" s="18"/>
      <c r="AW2" s="18"/>
      <c r="AX2" s="18"/>
      <c r="AY2" s="18"/>
    </row>
    <row r="3" spans="1:51" x14ac:dyDescent="0.25">
      <c r="A3" s="12"/>
      <c r="B3" s="14">
        <v>14</v>
      </c>
      <c r="C3" s="14">
        <v>10</v>
      </c>
      <c r="D3" s="14">
        <v>22</v>
      </c>
      <c r="E3" s="14">
        <v>24</v>
      </c>
      <c r="F3" s="14">
        <v>18</v>
      </c>
      <c r="G3" s="14">
        <v>9</v>
      </c>
      <c r="H3" s="14">
        <v>14</v>
      </c>
      <c r="I3" s="14">
        <v>54</v>
      </c>
      <c r="J3" s="14">
        <v>52</v>
      </c>
      <c r="K3" s="14">
        <v>59</v>
      </c>
      <c r="L3" s="14">
        <v>115</v>
      </c>
      <c r="M3" s="14">
        <v>105</v>
      </c>
      <c r="N3" s="14">
        <v>118</v>
      </c>
      <c r="O3" s="14">
        <v>118</v>
      </c>
      <c r="P3" s="14">
        <v>130</v>
      </c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8"/>
      <c r="AQ3" s="18"/>
      <c r="AR3" s="18"/>
      <c r="AS3" s="18"/>
      <c r="AT3" s="18"/>
      <c r="AU3" s="18"/>
      <c r="AV3" s="18"/>
      <c r="AW3" s="18"/>
      <c r="AX3" s="18"/>
      <c r="AY3" s="18"/>
    </row>
    <row r="4" spans="1:51" x14ac:dyDescent="0.25">
      <c r="A4" s="12"/>
      <c r="B4" s="14">
        <v>16</v>
      </c>
      <c r="C4" s="14">
        <v>18</v>
      </c>
      <c r="D4" s="14">
        <v>26</v>
      </c>
      <c r="E4" s="14">
        <v>28</v>
      </c>
      <c r="F4" s="14">
        <v>30</v>
      </c>
      <c r="G4" s="14">
        <v>67</v>
      </c>
      <c r="H4" s="14">
        <v>78</v>
      </c>
      <c r="I4" s="14">
        <v>91</v>
      </c>
      <c r="J4" s="14">
        <v>121</v>
      </c>
      <c r="K4" s="14">
        <v>133</v>
      </c>
      <c r="L4" s="14">
        <v>140</v>
      </c>
      <c r="M4" s="14">
        <v>141</v>
      </c>
      <c r="N4" s="14">
        <v>153</v>
      </c>
      <c r="O4" s="14">
        <v>171</v>
      </c>
      <c r="P4" s="14">
        <v>183</v>
      </c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8"/>
      <c r="AQ4" s="18"/>
      <c r="AR4" s="18"/>
      <c r="AS4" s="18"/>
      <c r="AT4" s="18"/>
      <c r="AU4" s="18"/>
      <c r="AV4" s="18"/>
      <c r="AW4" s="18"/>
      <c r="AX4" s="18"/>
      <c r="AY4" s="18"/>
    </row>
    <row r="5" spans="1:51" x14ac:dyDescent="0.25">
      <c r="A5" s="12"/>
      <c r="B5" s="14">
        <v>2</v>
      </c>
      <c r="C5" s="14">
        <v>1</v>
      </c>
      <c r="D5" s="14">
        <v>3</v>
      </c>
      <c r="E5" s="14">
        <v>3</v>
      </c>
      <c r="F5" s="14">
        <v>1</v>
      </c>
      <c r="G5" s="14">
        <v>1</v>
      </c>
      <c r="H5" s="14">
        <v>5</v>
      </c>
      <c r="I5" s="14">
        <v>3</v>
      </c>
      <c r="J5" s="14">
        <v>4</v>
      </c>
      <c r="K5" s="14">
        <v>5</v>
      </c>
      <c r="L5" s="14">
        <v>1</v>
      </c>
      <c r="M5" s="14">
        <v>1</v>
      </c>
      <c r="N5" s="14">
        <v>2</v>
      </c>
      <c r="O5" s="14">
        <v>1</v>
      </c>
      <c r="P5" s="14">
        <v>3</v>
      </c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8"/>
      <c r="AQ5" s="18"/>
      <c r="AR5" s="18"/>
      <c r="AS5" s="18"/>
      <c r="AT5" s="18"/>
      <c r="AU5" s="18"/>
      <c r="AV5" s="18"/>
      <c r="AW5" s="18"/>
      <c r="AX5" s="18"/>
      <c r="AY5" s="18"/>
    </row>
    <row r="6" spans="1:51" x14ac:dyDescent="0.25">
      <c r="A6" s="8" t="s">
        <v>17</v>
      </c>
      <c r="B6" s="18">
        <f>B2</f>
        <v>10</v>
      </c>
      <c r="C6" s="18">
        <f>B6+C2</f>
        <v>15</v>
      </c>
      <c r="D6" s="18">
        <f>C6+D2</f>
        <v>19</v>
      </c>
      <c r="E6" s="18">
        <f>D6+E2</f>
        <v>22</v>
      </c>
      <c r="F6" s="18">
        <f>E6+F2</f>
        <v>29</v>
      </c>
      <c r="G6" s="18">
        <f t="shared" ref="G6:AY6" si="0">F6+G2</f>
        <v>42</v>
      </c>
      <c r="H6" s="18">
        <f t="shared" si="0"/>
        <v>53</v>
      </c>
      <c r="I6" s="18">
        <f t="shared" si="0"/>
        <v>65</v>
      </c>
      <c r="J6" s="18">
        <f t="shared" si="0"/>
        <v>79</v>
      </c>
      <c r="K6" s="18">
        <f t="shared" si="0"/>
        <v>89</v>
      </c>
      <c r="L6" s="18">
        <f t="shared" si="0"/>
        <v>95</v>
      </c>
      <c r="M6" s="18">
        <f t="shared" si="0"/>
        <v>102</v>
      </c>
      <c r="N6" s="18">
        <f t="shared" si="0"/>
        <v>114</v>
      </c>
      <c r="O6" s="18">
        <f t="shared" si="0"/>
        <v>118</v>
      </c>
      <c r="P6" s="18">
        <f t="shared" si="0"/>
        <v>133</v>
      </c>
      <c r="Q6" s="18">
        <f t="shared" si="0"/>
        <v>133</v>
      </c>
      <c r="R6" s="18">
        <f t="shared" si="0"/>
        <v>133</v>
      </c>
      <c r="S6" s="18">
        <f t="shared" si="0"/>
        <v>133</v>
      </c>
      <c r="T6" s="18">
        <f t="shared" si="0"/>
        <v>133</v>
      </c>
      <c r="U6" s="18">
        <f t="shared" si="0"/>
        <v>133</v>
      </c>
      <c r="V6" s="18">
        <f t="shared" si="0"/>
        <v>133</v>
      </c>
      <c r="W6" s="18">
        <f t="shared" si="0"/>
        <v>133</v>
      </c>
      <c r="X6" s="18">
        <f t="shared" si="0"/>
        <v>133</v>
      </c>
      <c r="Y6" s="18">
        <f t="shared" si="0"/>
        <v>133</v>
      </c>
      <c r="Z6" s="18">
        <f t="shared" si="0"/>
        <v>133</v>
      </c>
      <c r="AA6" s="18">
        <f t="shared" si="0"/>
        <v>133</v>
      </c>
      <c r="AB6" s="18">
        <f t="shared" si="0"/>
        <v>133</v>
      </c>
      <c r="AC6" s="18">
        <f t="shared" si="0"/>
        <v>133</v>
      </c>
      <c r="AD6" s="18">
        <f t="shared" si="0"/>
        <v>133</v>
      </c>
      <c r="AE6" s="18">
        <f t="shared" si="0"/>
        <v>133</v>
      </c>
      <c r="AF6" s="18">
        <f t="shared" si="0"/>
        <v>133</v>
      </c>
      <c r="AG6" s="18">
        <f t="shared" si="0"/>
        <v>133</v>
      </c>
      <c r="AH6" s="18">
        <f t="shared" si="0"/>
        <v>133</v>
      </c>
      <c r="AI6" s="18">
        <f t="shared" si="0"/>
        <v>133</v>
      </c>
      <c r="AJ6" s="18">
        <f t="shared" si="0"/>
        <v>133</v>
      </c>
      <c r="AK6" s="18">
        <f t="shared" si="0"/>
        <v>133</v>
      </c>
      <c r="AL6" s="18">
        <f t="shared" si="0"/>
        <v>133</v>
      </c>
      <c r="AM6" s="18">
        <f t="shared" si="0"/>
        <v>133</v>
      </c>
      <c r="AN6" s="18">
        <f t="shared" si="0"/>
        <v>133</v>
      </c>
      <c r="AO6" s="18">
        <f t="shared" si="0"/>
        <v>133</v>
      </c>
      <c r="AP6" s="18">
        <f t="shared" si="0"/>
        <v>133</v>
      </c>
      <c r="AQ6" s="18">
        <f t="shared" si="0"/>
        <v>133</v>
      </c>
      <c r="AR6" s="18">
        <f t="shared" si="0"/>
        <v>133</v>
      </c>
      <c r="AS6" s="18">
        <f t="shared" si="0"/>
        <v>133</v>
      </c>
      <c r="AT6" s="18">
        <f t="shared" si="0"/>
        <v>133</v>
      </c>
      <c r="AU6" s="18">
        <f t="shared" si="0"/>
        <v>133</v>
      </c>
      <c r="AV6" s="18">
        <f t="shared" si="0"/>
        <v>133</v>
      </c>
      <c r="AW6" s="18">
        <f t="shared" si="0"/>
        <v>133</v>
      </c>
      <c r="AX6" s="18">
        <f t="shared" si="0"/>
        <v>133</v>
      </c>
      <c r="AY6" s="18">
        <f t="shared" si="0"/>
        <v>133</v>
      </c>
    </row>
    <row r="7" spans="1:51" x14ac:dyDescent="0.25">
      <c r="A7" s="8" t="s">
        <v>18</v>
      </c>
      <c r="B7" s="18">
        <f>MAX(0,B6-B3)</f>
        <v>0</v>
      </c>
      <c r="C7" s="18">
        <f t="shared" ref="C7:AY7" si="1">MAX(0,C6-C3)</f>
        <v>5</v>
      </c>
      <c r="D7" s="18">
        <f t="shared" si="1"/>
        <v>0</v>
      </c>
      <c r="E7" s="18">
        <f t="shared" si="1"/>
        <v>0</v>
      </c>
      <c r="F7" s="18">
        <f t="shared" si="1"/>
        <v>11</v>
      </c>
      <c r="G7" s="18">
        <f t="shared" si="1"/>
        <v>33</v>
      </c>
      <c r="H7" s="18">
        <f t="shared" si="1"/>
        <v>39</v>
      </c>
      <c r="I7" s="18">
        <f t="shared" si="1"/>
        <v>11</v>
      </c>
      <c r="J7" s="18">
        <f t="shared" si="1"/>
        <v>27</v>
      </c>
      <c r="K7" s="18">
        <f t="shared" si="1"/>
        <v>30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si="1"/>
        <v>0</v>
      </c>
      <c r="P7" s="18">
        <f t="shared" si="1"/>
        <v>3</v>
      </c>
      <c r="Q7" s="18">
        <f t="shared" si="1"/>
        <v>133</v>
      </c>
      <c r="R7" s="18">
        <f t="shared" si="1"/>
        <v>133</v>
      </c>
      <c r="S7" s="18">
        <f t="shared" si="1"/>
        <v>133</v>
      </c>
      <c r="T7" s="18">
        <f t="shared" si="1"/>
        <v>133</v>
      </c>
      <c r="U7" s="18">
        <f t="shared" si="1"/>
        <v>133</v>
      </c>
      <c r="V7" s="18">
        <f t="shared" si="1"/>
        <v>133</v>
      </c>
      <c r="W7" s="18">
        <f t="shared" si="1"/>
        <v>133</v>
      </c>
      <c r="X7" s="18">
        <f t="shared" si="1"/>
        <v>133</v>
      </c>
      <c r="Y7" s="18">
        <f t="shared" si="1"/>
        <v>133</v>
      </c>
      <c r="Z7" s="18">
        <f t="shared" si="1"/>
        <v>133</v>
      </c>
      <c r="AA7" s="18">
        <f t="shared" si="1"/>
        <v>133</v>
      </c>
      <c r="AB7" s="18">
        <f t="shared" si="1"/>
        <v>133</v>
      </c>
      <c r="AC7" s="18">
        <f t="shared" si="1"/>
        <v>133</v>
      </c>
      <c r="AD7" s="18">
        <f t="shared" si="1"/>
        <v>133</v>
      </c>
      <c r="AE7" s="18">
        <f t="shared" si="1"/>
        <v>133</v>
      </c>
      <c r="AF7" s="18">
        <f t="shared" si="1"/>
        <v>133</v>
      </c>
      <c r="AG7" s="18">
        <f t="shared" si="1"/>
        <v>133</v>
      </c>
      <c r="AH7" s="18">
        <f t="shared" si="1"/>
        <v>133</v>
      </c>
      <c r="AI7" s="18">
        <f t="shared" si="1"/>
        <v>133</v>
      </c>
      <c r="AJ7" s="18">
        <f t="shared" si="1"/>
        <v>133</v>
      </c>
      <c r="AK7" s="18">
        <f t="shared" si="1"/>
        <v>133</v>
      </c>
      <c r="AL7" s="18">
        <f t="shared" si="1"/>
        <v>133</v>
      </c>
      <c r="AM7" s="18">
        <f t="shared" si="1"/>
        <v>133</v>
      </c>
      <c r="AN7" s="18">
        <f t="shared" si="1"/>
        <v>133</v>
      </c>
      <c r="AO7" s="18">
        <f t="shared" si="1"/>
        <v>133</v>
      </c>
      <c r="AP7" s="18">
        <f t="shared" si="1"/>
        <v>133</v>
      </c>
      <c r="AQ7" s="18">
        <f t="shared" si="1"/>
        <v>133</v>
      </c>
      <c r="AR7" s="18">
        <f t="shared" si="1"/>
        <v>133</v>
      </c>
      <c r="AS7" s="18">
        <f t="shared" si="1"/>
        <v>133</v>
      </c>
      <c r="AT7" s="18">
        <f t="shared" si="1"/>
        <v>133</v>
      </c>
      <c r="AU7" s="18">
        <f t="shared" si="1"/>
        <v>133</v>
      </c>
      <c r="AV7" s="18">
        <f t="shared" si="1"/>
        <v>133</v>
      </c>
      <c r="AW7" s="18">
        <f t="shared" si="1"/>
        <v>133</v>
      </c>
      <c r="AX7" s="18">
        <f t="shared" si="1"/>
        <v>133</v>
      </c>
      <c r="AY7" s="18">
        <f t="shared" si="1"/>
        <v>133</v>
      </c>
    </row>
    <row r="8" spans="1:51" x14ac:dyDescent="0.25">
      <c r="A8" s="8" t="s">
        <v>19</v>
      </c>
      <c r="B8" s="18">
        <f>B7*B5</f>
        <v>0</v>
      </c>
      <c r="C8" s="18">
        <f t="shared" ref="C8:AY8" si="2">C7*C5</f>
        <v>5</v>
      </c>
      <c r="D8" s="18">
        <f t="shared" si="2"/>
        <v>0</v>
      </c>
      <c r="E8" s="18">
        <f t="shared" si="2"/>
        <v>0</v>
      </c>
      <c r="F8" s="18">
        <f t="shared" si="2"/>
        <v>11</v>
      </c>
      <c r="G8" s="18">
        <f t="shared" si="2"/>
        <v>33</v>
      </c>
      <c r="H8" s="18">
        <f t="shared" si="2"/>
        <v>195</v>
      </c>
      <c r="I8" s="18">
        <f t="shared" si="2"/>
        <v>33</v>
      </c>
      <c r="J8" s="18">
        <f t="shared" si="2"/>
        <v>108</v>
      </c>
      <c r="K8" s="18">
        <f t="shared" si="2"/>
        <v>150</v>
      </c>
      <c r="L8" s="18">
        <f t="shared" si="2"/>
        <v>0</v>
      </c>
      <c r="M8" s="18">
        <f t="shared" si="2"/>
        <v>0</v>
      </c>
      <c r="N8" s="18">
        <f t="shared" si="2"/>
        <v>0</v>
      </c>
      <c r="O8" s="18">
        <f t="shared" si="2"/>
        <v>0</v>
      </c>
      <c r="P8" s="18">
        <f t="shared" si="2"/>
        <v>9</v>
      </c>
      <c r="Q8" s="18">
        <f t="shared" si="2"/>
        <v>0</v>
      </c>
      <c r="R8" s="18">
        <f t="shared" si="2"/>
        <v>0</v>
      </c>
      <c r="S8" s="18">
        <f t="shared" si="2"/>
        <v>0</v>
      </c>
      <c r="T8" s="18">
        <f t="shared" si="2"/>
        <v>0</v>
      </c>
      <c r="U8" s="18">
        <f t="shared" si="2"/>
        <v>0</v>
      </c>
      <c r="V8" s="18">
        <f t="shared" si="2"/>
        <v>0</v>
      </c>
      <c r="W8" s="18">
        <f t="shared" si="2"/>
        <v>0</v>
      </c>
      <c r="X8" s="18">
        <f t="shared" si="2"/>
        <v>0</v>
      </c>
      <c r="Y8" s="18">
        <f t="shared" si="2"/>
        <v>0</v>
      </c>
      <c r="Z8" s="18">
        <f t="shared" si="2"/>
        <v>0</v>
      </c>
      <c r="AA8" s="18">
        <f t="shared" si="2"/>
        <v>0</v>
      </c>
      <c r="AB8" s="18">
        <f t="shared" si="2"/>
        <v>0</v>
      </c>
      <c r="AC8" s="18">
        <f t="shared" si="2"/>
        <v>0</v>
      </c>
      <c r="AD8" s="18">
        <f t="shared" si="2"/>
        <v>0</v>
      </c>
      <c r="AE8" s="18">
        <f t="shared" si="2"/>
        <v>0</v>
      </c>
      <c r="AF8" s="18">
        <f t="shared" si="2"/>
        <v>0</v>
      </c>
      <c r="AG8" s="18">
        <f t="shared" si="2"/>
        <v>0</v>
      </c>
      <c r="AH8" s="18">
        <f t="shared" si="2"/>
        <v>0</v>
      </c>
      <c r="AI8" s="18">
        <f t="shared" si="2"/>
        <v>0</v>
      </c>
      <c r="AJ8" s="18">
        <f t="shared" si="2"/>
        <v>0</v>
      </c>
      <c r="AK8" s="18">
        <f t="shared" si="2"/>
        <v>0</v>
      </c>
      <c r="AL8" s="18">
        <f t="shared" si="2"/>
        <v>0</v>
      </c>
      <c r="AM8" s="18">
        <f t="shared" si="2"/>
        <v>0</v>
      </c>
      <c r="AN8" s="18">
        <f t="shared" si="2"/>
        <v>0</v>
      </c>
      <c r="AO8" s="18">
        <f t="shared" si="2"/>
        <v>0</v>
      </c>
      <c r="AP8" s="18">
        <f t="shared" si="2"/>
        <v>0</v>
      </c>
      <c r="AQ8" s="18">
        <f t="shared" si="2"/>
        <v>0</v>
      </c>
      <c r="AR8" s="18">
        <f t="shared" si="2"/>
        <v>0</v>
      </c>
      <c r="AS8" s="18">
        <f t="shared" si="2"/>
        <v>0</v>
      </c>
      <c r="AT8" s="18">
        <f t="shared" si="2"/>
        <v>0</v>
      </c>
      <c r="AU8" s="18">
        <f t="shared" si="2"/>
        <v>0</v>
      </c>
      <c r="AV8" s="18">
        <f t="shared" si="2"/>
        <v>0</v>
      </c>
      <c r="AW8" s="18">
        <f t="shared" si="2"/>
        <v>0</v>
      </c>
      <c r="AX8" s="18">
        <f t="shared" si="2"/>
        <v>0</v>
      </c>
      <c r="AY8" s="18">
        <f t="shared" si="2"/>
        <v>0</v>
      </c>
    </row>
    <row r="9" spans="1:51" x14ac:dyDescent="0.25">
      <c r="A9" s="19" t="s">
        <v>21</v>
      </c>
      <c r="B9">
        <f>IF(B6-B4&gt;0,1,0)</f>
        <v>0</v>
      </c>
      <c r="C9">
        <f t="shared" ref="C9:AY9" si="3">IF(C6-C4&gt;0,1,0)</f>
        <v>0</v>
      </c>
      <c r="D9">
        <f t="shared" si="3"/>
        <v>0</v>
      </c>
      <c r="E9">
        <f t="shared" si="3"/>
        <v>0</v>
      </c>
      <c r="F9">
        <f t="shared" si="3"/>
        <v>0</v>
      </c>
      <c r="G9">
        <f t="shared" si="3"/>
        <v>0</v>
      </c>
      <c r="H9">
        <f t="shared" si="3"/>
        <v>0</v>
      </c>
      <c r="I9">
        <f t="shared" si="3"/>
        <v>0</v>
      </c>
      <c r="J9">
        <f t="shared" si="3"/>
        <v>0</v>
      </c>
      <c r="K9">
        <f t="shared" si="3"/>
        <v>0</v>
      </c>
      <c r="L9">
        <f t="shared" si="3"/>
        <v>0</v>
      </c>
      <c r="M9">
        <f t="shared" si="3"/>
        <v>0</v>
      </c>
      <c r="N9">
        <f t="shared" si="3"/>
        <v>0</v>
      </c>
      <c r="O9">
        <f t="shared" si="3"/>
        <v>0</v>
      </c>
      <c r="P9">
        <f t="shared" si="3"/>
        <v>0</v>
      </c>
      <c r="Q9">
        <f t="shared" si="3"/>
        <v>1</v>
      </c>
      <c r="R9">
        <f t="shared" si="3"/>
        <v>1</v>
      </c>
      <c r="S9">
        <f t="shared" si="3"/>
        <v>1</v>
      </c>
      <c r="T9">
        <f t="shared" si="3"/>
        <v>1</v>
      </c>
      <c r="U9">
        <f t="shared" si="3"/>
        <v>1</v>
      </c>
      <c r="V9">
        <f t="shared" si="3"/>
        <v>1</v>
      </c>
      <c r="W9">
        <f t="shared" si="3"/>
        <v>1</v>
      </c>
      <c r="X9">
        <f t="shared" si="3"/>
        <v>1</v>
      </c>
      <c r="Y9">
        <f t="shared" si="3"/>
        <v>1</v>
      </c>
      <c r="Z9">
        <f t="shared" si="3"/>
        <v>1</v>
      </c>
      <c r="AA9">
        <f t="shared" si="3"/>
        <v>1</v>
      </c>
      <c r="AB9">
        <f t="shared" si="3"/>
        <v>1</v>
      </c>
      <c r="AC9">
        <f t="shared" si="3"/>
        <v>1</v>
      </c>
      <c r="AD9">
        <f t="shared" si="3"/>
        <v>1</v>
      </c>
      <c r="AE9">
        <f t="shared" si="3"/>
        <v>1</v>
      </c>
      <c r="AF9">
        <f t="shared" si="3"/>
        <v>1</v>
      </c>
      <c r="AG9">
        <f t="shared" si="3"/>
        <v>1</v>
      </c>
      <c r="AH9">
        <f t="shared" si="3"/>
        <v>1</v>
      </c>
      <c r="AI9">
        <f t="shared" si="3"/>
        <v>1</v>
      </c>
      <c r="AJ9">
        <f t="shared" si="3"/>
        <v>1</v>
      </c>
      <c r="AK9">
        <f t="shared" si="3"/>
        <v>1</v>
      </c>
      <c r="AL9">
        <f t="shared" si="3"/>
        <v>1</v>
      </c>
      <c r="AM9">
        <f t="shared" si="3"/>
        <v>1</v>
      </c>
      <c r="AN9">
        <f t="shared" si="3"/>
        <v>1</v>
      </c>
      <c r="AO9">
        <f t="shared" si="3"/>
        <v>1</v>
      </c>
      <c r="AP9">
        <f t="shared" si="3"/>
        <v>1</v>
      </c>
      <c r="AQ9">
        <f t="shared" si="3"/>
        <v>1</v>
      </c>
      <c r="AR9">
        <f t="shared" si="3"/>
        <v>1</v>
      </c>
      <c r="AS9">
        <f t="shared" si="3"/>
        <v>1</v>
      </c>
      <c r="AT9">
        <f t="shared" si="3"/>
        <v>1</v>
      </c>
      <c r="AU9">
        <f t="shared" si="3"/>
        <v>1</v>
      </c>
      <c r="AV9">
        <f t="shared" si="3"/>
        <v>1</v>
      </c>
      <c r="AW9">
        <f t="shared" si="3"/>
        <v>1</v>
      </c>
      <c r="AX9">
        <f t="shared" si="3"/>
        <v>1</v>
      </c>
      <c r="AY9">
        <f t="shared" si="3"/>
        <v>1</v>
      </c>
    </row>
    <row r="15" spans="1:51" x14ac:dyDescent="0.25">
      <c r="B15">
        <v>16</v>
      </c>
      <c r="C15" t="s">
        <v>22</v>
      </c>
    </row>
    <row r="20" spans="2:3" x14ac:dyDescent="0.25">
      <c r="B20" t="s">
        <v>28</v>
      </c>
      <c r="C20">
        <v>16</v>
      </c>
    </row>
  </sheetData>
  <sortState xmlns:xlrd2="http://schemas.microsoft.com/office/spreadsheetml/2017/richdata2" columnSort="1" ref="B1:F5">
    <sortCondition ref="B4:F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8970-83DC-4A02-AA60-F4BA9DC07F8E}">
  <sheetPr codeName="Sheet1"/>
  <dimension ref="A1:AY10"/>
  <sheetViews>
    <sheetView zoomScale="130" zoomScaleNormal="130" workbookViewId="0">
      <selection activeCell="B1" sqref="B1:F6"/>
    </sheetView>
  </sheetViews>
  <sheetFormatPr defaultRowHeight="15" x14ac:dyDescent="0.25"/>
  <cols>
    <col min="1" max="1" width="19.7109375" bestFit="1" customWidth="1"/>
  </cols>
  <sheetData>
    <row r="1" spans="1:51" x14ac:dyDescent="0.25">
      <c r="A1" s="8"/>
      <c r="B1" s="9">
        <v>5</v>
      </c>
      <c r="C1" s="9">
        <v>4</v>
      </c>
      <c r="D1" s="9">
        <v>1</v>
      </c>
      <c r="E1" s="9">
        <v>2</v>
      </c>
      <c r="F1" s="9">
        <v>3</v>
      </c>
      <c r="G1" s="9">
        <v>6</v>
      </c>
      <c r="H1" s="9">
        <v>14</v>
      </c>
      <c r="I1" s="9">
        <v>1</v>
      </c>
      <c r="J1" s="9">
        <v>2</v>
      </c>
      <c r="K1" s="9">
        <v>10</v>
      </c>
      <c r="L1" s="9">
        <v>13</v>
      </c>
      <c r="M1" s="9">
        <v>15</v>
      </c>
      <c r="N1" s="9">
        <v>3</v>
      </c>
      <c r="O1" s="9">
        <v>11</v>
      </c>
      <c r="P1" s="9">
        <v>7</v>
      </c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x14ac:dyDescent="0.25">
      <c r="A2" s="12"/>
      <c r="B2" s="14">
        <v>3</v>
      </c>
      <c r="C2" s="14">
        <v>4</v>
      </c>
      <c r="D2" s="14">
        <v>5</v>
      </c>
      <c r="E2" s="14">
        <v>10</v>
      </c>
      <c r="F2" s="14">
        <v>7</v>
      </c>
      <c r="G2" s="14">
        <v>12</v>
      </c>
      <c r="H2" s="14">
        <v>4</v>
      </c>
      <c r="I2" s="14">
        <v>5</v>
      </c>
      <c r="J2" s="14">
        <v>10</v>
      </c>
      <c r="K2" s="14">
        <v>15</v>
      </c>
      <c r="L2" s="14">
        <v>6</v>
      </c>
      <c r="M2" s="14">
        <v>12</v>
      </c>
      <c r="N2" s="14">
        <v>7</v>
      </c>
      <c r="O2" s="14">
        <v>7</v>
      </c>
      <c r="P2" s="14">
        <v>13</v>
      </c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8"/>
      <c r="AQ2" s="18"/>
      <c r="AR2" s="18"/>
      <c r="AS2" s="18"/>
      <c r="AT2" s="18"/>
      <c r="AU2" s="18"/>
      <c r="AV2" s="18"/>
      <c r="AW2" s="18"/>
      <c r="AX2" s="18"/>
      <c r="AY2" s="18"/>
    </row>
    <row r="3" spans="1:51" x14ac:dyDescent="0.25">
      <c r="A3" s="12"/>
      <c r="B3" s="14">
        <v>24</v>
      </c>
      <c r="C3" s="14">
        <v>22</v>
      </c>
      <c r="D3" s="14">
        <v>10</v>
      </c>
      <c r="E3" s="14">
        <v>14</v>
      </c>
      <c r="F3" s="14">
        <v>18</v>
      </c>
      <c r="G3" s="14">
        <v>54</v>
      </c>
      <c r="H3" s="14">
        <v>118</v>
      </c>
      <c r="I3" s="14">
        <v>10</v>
      </c>
      <c r="J3" s="14">
        <v>14</v>
      </c>
      <c r="K3" s="14">
        <v>130</v>
      </c>
      <c r="L3" s="14">
        <v>115</v>
      </c>
      <c r="M3" s="14">
        <v>118</v>
      </c>
      <c r="N3" s="14">
        <v>18</v>
      </c>
      <c r="O3" s="14">
        <v>105</v>
      </c>
      <c r="P3" s="14">
        <v>9</v>
      </c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8"/>
      <c r="AQ3" s="18"/>
      <c r="AR3" s="18"/>
      <c r="AS3" s="18"/>
      <c r="AT3" s="18"/>
      <c r="AU3" s="18"/>
      <c r="AV3" s="18"/>
      <c r="AW3" s="18"/>
      <c r="AX3" s="18"/>
      <c r="AY3" s="18"/>
    </row>
    <row r="4" spans="1:51" x14ac:dyDescent="0.25">
      <c r="A4" s="12"/>
      <c r="B4" s="14">
        <v>28</v>
      </c>
      <c r="C4" s="14">
        <v>26</v>
      </c>
      <c r="D4" s="14">
        <v>18</v>
      </c>
      <c r="E4" s="14">
        <v>16</v>
      </c>
      <c r="F4" s="14">
        <v>30</v>
      </c>
      <c r="G4" s="14">
        <v>91</v>
      </c>
      <c r="H4" s="14">
        <v>171</v>
      </c>
      <c r="I4" s="14">
        <v>18</v>
      </c>
      <c r="J4" s="14">
        <v>16</v>
      </c>
      <c r="K4" s="14">
        <v>183</v>
      </c>
      <c r="L4" s="14">
        <v>140</v>
      </c>
      <c r="M4" s="14">
        <v>153</v>
      </c>
      <c r="N4" s="14">
        <v>30</v>
      </c>
      <c r="O4" s="14">
        <v>141</v>
      </c>
      <c r="P4" s="14">
        <v>67</v>
      </c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8"/>
      <c r="AQ4" s="18"/>
      <c r="AR4" s="18"/>
      <c r="AS4" s="18"/>
      <c r="AT4" s="18"/>
      <c r="AU4" s="18"/>
      <c r="AV4" s="18"/>
      <c r="AW4" s="18"/>
      <c r="AX4" s="18"/>
      <c r="AY4" s="18"/>
    </row>
    <row r="5" spans="1:51" x14ac:dyDescent="0.25">
      <c r="A5" s="12"/>
      <c r="B5" s="14">
        <v>3</v>
      </c>
      <c r="C5" s="14">
        <v>3</v>
      </c>
      <c r="D5" s="14">
        <v>1</v>
      </c>
      <c r="E5" s="14">
        <v>2</v>
      </c>
      <c r="F5" s="14">
        <v>1</v>
      </c>
      <c r="G5" s="14">
        <v>3</v>
      </c>
      <c r="H5" s="14">
        <v>1</v>
      </c>
      <c r="I5" s="14">
        <v>1</v>
      </c>
      <c r="J5" s="14">
        <v>2</v>
      </c>
      <c r="K5" s="14">
        <v>3</v>
      </c>
      <c r="L5" s="14">
        <v>1</v>
      </c>
      <c r="M5" s="14">
        <v>2</v>
      </c>
      <c r="N5" s="14">
        <v>1</v>
      </c>
      <c r="O5" s="14">
        <v>1</v>
      </c>
      <c r="P5" s="14">
        <v>1</v>
      </c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8"/>
      <c r="AQ5" s="18"/>
      <c r="AR5" s="18"/>
      <c r="AS5" s="18"/>
      <c r="AT5" s="18"/>
      <c r="AU5" s="18"/>
      <c r="AV5" s="18"/>
      <c r="AW5" s="18"/>
      <c r="AX5" s="18"/>
      <c r="AY5" s="18"/>
    </row>
    <row r="6" spans="1:51" x14ac:dyDescent="0.25">
      <c r="A6" s="8" t="s">
        <v>16</v>
      </c>
      <c r="B6" s="18">
        <f>B2/B5</f>
        <v>1</v>
      </c>
      <c r="C6" s="18">
        <f>C2/C5</f>
        <v>1.3333333333333333</v>
      </c>
      <c r="D6" s="18">
        <f>D2/D5</f>
        <v>5</v>
      </c>
      <c r="E6" s="18">
        <f>E2/E5</f>
        <v>5</v>
      </c>
      <c r="F6" s="18">
        <f>F2/F5</f>
        <v>7</v>
      </c>
      <c r="G6" s="18">
        <f>G2/G5</f>
        <v>4</v>
      </c>
      <c r="H6" s="18">
        <f>H2/H5</f>
        <v>4</v>
      </c>
      <c r="I6" s="18">
        <f>I2/I5</f>
        <v>5</v>
      </c>
      <c r="J6" s="18">
        <f>J2/J5</f>
        <v>5</v>
      </c>
      <c r="K6" s="18">
        <f>K2/K5</f>
        <v>5</v>
      </c>
      <c r="L6" s="18">
        <f>L2/L5</f>
        <v>6</v>
      </c>
      <c r="M6" s="18">
        <f>M2/M5</f>
        <v>6</v>
      </c>
      <c r="N6" s="18">
        <f>N2/N5</f>
        <v>7</v>
      </c>
      <c r="O6" s="18">
        <f>O2/O5</f>
        <v>7</v>
      </c>
      <c r="P6" s="18">
        <f>P2/P5</f>
        <v>13</v>
      </c>
      <c r="Q6" s="18" t="e">
        <f t="shared" ref="Q6:AG6" si="0">Q2/Q5</f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ref="AH6:AY6" si="1">AH2/AH5</f>
        <v>#DIV/0!</v>
      </c>
      <c r="AI6" s="18" t="e">
        <f t="shared" si="1"/>
        <v>#DIV/0!</v>
      </c>
      <c r="AJ6" s="18" t="e">
        <f t="shared" si="1"/>
        <v>#DIV/0!</v>
      </c>
      <c r="AK6" s="18" t="e">
        <f t="shared" si="1"/>
        <v>#DIV/0!</v>
      </c>
      <c r="AL6" s="18" t="e">
        <f t="shared" si="1"/>
        <v>#DIV/0!</v>
      </c>
      <c r="AM6" s="18" t="e">
        <f t="shared" si="1"/>
        <v>#DIV/0!</v>
      </c>
      <c r="AN6" s="18" t="e">
        <f t="shared" si="1"/>
        <v>#DIV/0!</v>
      </c>
      <c r="AO6" s="18" t="e">
        <f t="shared" si="1"/>
        <v>#DIV/0!</v>
      </c>
      <c r="AP6" s="18" t="e">
        <f t="shared" si="1"/>
        <v>#DIV/0!</v>
      </c>
      <c r="AQ6" s="18" t="e">
        <f t="shared" si="1"/>
        <v>#DIV/0!</v>
      </c>
      <c r="AR6" s="18" t="e">
        <f t="shared" si="1"/>
        <v>#DIV/0!</v>
      </c>
      <c r="AS6" s="18" t="e">
        <f t="shared" si="1"/>
        <v>#DIV/0!</v>
      </c>
      <c r="AT6" s="18" t="e">
        <f t="shared" si="1"/>
        <v>#DIV/0!</v>
      </c>
      <c r="AU6" s="18" t="e">
        <f t="shared" si="1"/>
        <v>#DIV/0!</v>
      </c>
      <c r="AV6" s="18" t="e">
        <f t="shared" si="1"/>
        <v>#DIV/0!</v>
      </c>
      <c r="AW6" s="18" t="e">
        <f t="shared" si="1"/>
        <v>#DIV/0!</v>
      </c>
      <c r="AX6" s="18" t="e">
        <f t="shared" si="1"/>
        <v>#DIV/0!</v>
      </c>
      <c r="AY6" s="18" t="e">
        <f t="shared" si="1"/>
        <v>#DIV/0!</v>
      </c>
    </row>
    <row r="7" spans="1:51" x14ac:dyDescent="0.25">
      <c r="A7" s="8" t="s">
        <v>17</v>
      </c>
      <c r="B7" s="18">
        <f>B2</f>
        <v>3</v>
      </c>
      <c r="C7" s="18">
        <f>B7+C2</f>
        <v>7</v>
      </c>
      <c r="D7" s="18">
        <f t="shared" ref="D7:AY7" si="2">C7+D2</f>
        <v>12</v>
      </c>
      <c r="E7" s="18">
        <f t="shared" si="2"/>
        <v>22</v>
      </c>
      <c r="F7" s="18">
        <f t="shared" si="2"/>
        <v>29</v>
      </c>
      <c r="G7" s="18">
        <f t="shared" si="2"/>
        <v>41</v>
      </c>
      <c r="H7" s="18">
        <f t="shared" si="2"/>
        <v>45</v>
      </c>
      <c r="I7" s="18">
        <f t="shared" si="2"/>
        <v>50</v>
      </c>
      <c r="J7" s="18">
        <f t="shared" si="2"/>
        <v>60</v>
      </c>
      <c r="K7" s="18">
        <f t="shared" si="2"/>
        <v>75</v>
      </c>
      <c r="L7" s="18">
        <f t="shared" si="2"/>
        <v>81</v>
      </c>
      <c r="M7" s="18">
        <f t="shared" si="2"/>
        <v>93</v>
      </c>
      <c r="N7" s="18">
        <f t="shared" si="2"/>
        <v>100</v>
      </c>
      <c r="O7" s="18">
        <f t="shared" si="2"/>
        <v>107</v>
      </c>
      <c r="P7" s="18">
        <f t="shared" si="2"/>
        <v>120</v>
      </c>
      <c r="Q7" s="18">
        <f t="shared" si="2"/>
        <v>120</v>
      </c>
      <c r="R7" s="18">
        <f t="shared" si="2"/>
        <v>120</v>
      </c>
      <c r="S7" s="18">
        <f t="shared" si="2"/>
        <v>120</v>
      </c>
      <c r="T7" s="18">
        <f t="shared" si="2"/>
        <v>120</v>
      </c>
      <c r="U7" s="18">
        <f t="shared" si="2"/>
        <v>120</v>
      </c>
      <c r="V7" s="18">
        <f t="shared" si="2"/>
        <v>120</v>
      </c>
      <c r="W7" s="18">
        <f t="shared" si="2"/>
        <v>120</v>
      </c>
      <c r="X7" s="18">
        <f t="shared" si="2"/>
        <v>120</v>
      </c>
      <c r="Y7" s="18">
        <f t="shared" si="2"/>
        <v>120</v>
      </c>
      <c r="Z7" s="18">
        <f t="shared" si="2"/>
        <v>120</v>
      </c>
      <c r="AA7" s="18">
        <f t="shared" si="2"/>
        <v>120</v>
      </c>
      <c r="AB7" s="18">
        <f t="shared" si="2"/>
        <v>120</v>
      </c>
      <c r="AC7" s="18">
        <f t="shared" si="2"/>
        <v>120</v>
      </c>
      <c r="AD7" s="18">
        <f t="shared" si="2"/>
        <v>120</v>
      </c>
      <c r="AE7" s="18">
        <f t="shared" si="2"/>
        <v>120</v>
      </c>
      <c r="AF7" s="18">
        <f t="shared" si="2"/>
        <v>120</v>
      </c>
      <c r="AG7" s="18">
        <f t="shared" si="2"/>
        <v>120</v>
      </c>
      <c r="AH7" s="18">
        <f t="shared" si="2"/>
        <v>120</v>
      </c>
      <c r="AI7" s="18">
        <f t="shared" si="2"/>
        <v>120</v>
      </c>
      <c r="AJ7" s="18">
        <f t="shared" si="2"/>
        <v>120</v>
      </c>
      <c r="AK7" s="18">
        <f t="shared" si="2"/>
        <v>120</v>
      </c>
      <c r="AL7" s="18">
        <f t="shared" si="2"/>
        <v>120</v>
      </c>
      <c r="AM7" s="18">
        <f t="shared" si="2"/>
        <v>120</v>
      </c>
      <c r="AN7" s="18">
        <f t="shared" si="2"/>
        <v>120</v>
      </c>
      <c r="AO7" s="18">
        <f t="shared" si="2"/>
        <v>120</v>
      </c>
      <c r="AP7" s="18">
        <f t="shared" si="2"/>
        <v>120</v>
      </c>
      <c r="AQ7" s="18">
        <f t="shared" si="2"/>
        <v>120</v>
      </c>
      <c r="AR7" s="18">
        <f t="shared" si="2"/>
        <v>120</v>
      </c>
      <c r="AS7" s="18">
        <f t="shared" si="2"/>
        <v>120</v>
      </c>
      <c r="AT7" s="18">
        <f t="shared" si="2"/>
        <v>120</v>
      </c>
      <c r="AU7" s="18">
        <f t="shared" si="2"/>
        <v>120</v>
      </c>
      <c r="AV7" s="18">
        <f t="shared" si="2"/>
        <v>120</v>
      </c>
      <c r="AW7" s="18">
        <f t="shared" si="2"/>
        <v>120</v>
      </c>
      <c r="AX7" s="18">
        <f t="shared" si="2"/>
        <v>120</v>
      </c>
      <c r="AY7" s="18">
        <f t="shared" si="2"/>
        <v>120</v>
      </c>
    </row>
    <row r="8" spans="1:51" x14ac:dyDescent="0.25">
      <c r="A8" s="8" t="s">
        <v>18</v>
      </c>
      <c r="B8" s="18">
        <f>MAX(0,B7-B3)</f>
        <v>0</v>
      </c>
      <c r="C8" s="18">
        <f t="shared" ref="C8:AY8" si="3">MAX(0,C7-C3)</f>
        <v>0</v>
      </c>
      <c r="D8" s="18">
        <f t="shared" si="3"/>
        <v>2</v>
      </c>
      <c r="E8" s="18">
        <f t="shared" si="3"/>
        <v>8</v>
      </c>
      <c r="F8" s="18">
        <f t="shared" si="3"/>
        <v>11</v>
      </c>
      <c r="G8" s="18">
        <f t="shared" si="3"/>
        <v>0</v>
      </c>
      <c r="H8" s="18">
        <f t="shared" si="3"/>
        <v>0</v>
      </c>
      <c r="I8" s="18">
        <f t="shared" si="3"/>
        <v>40</v>
      </c>
      <c r="J8" s="18">
        <f t="shared" si="3"/>
        <v>46</v>
      </c>
      <c r="K8" s="18">
        <f t="shared" si="3"/>
        <v>0</v>
      </c>
      <c r="L8" s="18">
        <f t="shared" si="3"/>
        <v>0</v>
      </c>
      <c r="M8" s="18">
        <f t="shared" si="3"/>
        <v>0</v>
      </c>
      <c r="N8" s="18">
        <f t="shared" si="3"/>
        <v>82</v>
      </c>
      <c r="O8" s="18">
        <f t="shared" si="3"/>
        <v>2</v>
      </c>
      <c r="P8" s="18">
        <f t="shared" si="3"/>
        <v>111</v>
      </c>
      <c r="Q8" s="18">
        <f t="shared" si="3"/>
        <v>120</v>
      </c>
      <c r="R8" s="18">
        <f t="shared" si="3"/>
        <v>120</v>
      </c>
      <c r="S8" s="18">
        <f t="shared" si="3"/>
        <v>120</v>
      </c>
      <c r="T8" s="18">
        <f t="shared" si="3"/>
        <v>120</v>
      </c>
      <c r="U8" s="18">
        <f t="shared" si="3"/>
        <v>120</v>
      </c>
      <c r="V8" s="18">
        <f t="shared" si="3"/>
        <v>120</v>
      </c>
      <c r="W8" s="18">
        <f t="shared" si="3"/>
        <v>120</v>
      </c>
      <c r="X8" s="18">
        <f t="shared" si="3"/>
        <v>120</v>
      </c>
      <c r="Y8" s="18">
        <f t="shared" si="3"/>
        <v>120</v>
      </c>
      <c r="Z8" s="18">
        <f t="shared" si="3"/>
        <v>120</v>
      </c>
      <c r="AA8" s="18">
        <f t="shared" si="3"/>
        <v>120</v>
      </c>
      <c r="AB8" s="18">
        <f t="shared" si="3"/>
        <v>120</v>
      </c>
      <c r="AC8" s="18">
        <f t="shared" si="3"/>
        <v>120</v>
      </c>
      <c r="AD8" s="18">
        <f t="shared" si="3"/>
        <v>120</v>
      </c>
      <c r="AE8" s="18">
        <f t="shared" si="3"/>
        <v>120</v>
      </c>
      <c r="AF8" s="18">
        <f t="shared" si="3"/>
        <v>120</v>
      </c>
      <c r="AG8" s="18">
        <f t="shared" si="3"/>
        <v>120</v>
      </c>
      <c r="AH8" s="18">
        <f t="shared" si="3"/>
        <v>120</v>
      </c>
      <c r="AI8" s="18">
        <f t="shared" si="3"/>
        <v>120</v>
      </c>
      <c r="AJ8" s="18">
        <f t="shared" si="3"/>
        <v>120</v>
      </c>
      <c r="AK8" s="18">
        <f t="shared" si="3"/>
        <v>120</v>
      </c>
      <c r="AL8" s="18">
        <f t="shared" si="3"/>
        <v>120</v>
      </c>
      <c r="AM8" s="18">
        <f t="shared" si="3"/>
        <v>120</v>
      </c>
      <c r="AN8" s="18">
        <f t="shared" si="3"/>
        <v>120</v>
      </c>
      <c r="AO8" s="18">
        <f t="shared" si="3"/>
        <v>120</v>
      </c>
      <c r="AP8" s="18">
        <f t="shared" si="3"/>
        <v>120</v>
      </c>
      <c r="AQ8" s="18">
        <f t="shared" si="3"/>
        <v>120</v>
      </c>
      <c r="AR8" s="18">
        <f t="shared" si="3"/>
        <v>120</v>
      </c>
      <c r="AS8" s="18">
        <f t="shared" si="3"/>
        <v>120</v>
      </c>
      <c r="AT8" s="18">
        <f t="shared" si="3"/>
        <v>120</v>
      </c>
      <c r="AU8" s="18">
        <f t="shared" si="3"/>
        <v>120</v>
      </c>
      <c r="AV8" s="18">
        <f t="shared" si="3"/>
        <v>120</v>
      </c>
      <c r="AW8" s="18">
        <f t="shared" si="3"/>
        <v>120</v>
      </c>
      <c r="AX8" s="18">
        <f t="shared" si="3"/>
        <v>120</v>
      </c>
      <c r="AY8" s="18">
        <f t="shared" si="3"/>
        <v>120</v>
      </c>
    </row>
    <row r="9" spans="1:51" x14ac:dyDescent="0.25">
      <c r="A9" s="8" t="s">
        <v>19</v>
      </c>
      <c r="B9" s="18">
        <f>B5*B8</f>
        <v>0</v>
      </c>
      <c r="C9" s="18">
        <f t="shared" ref="C9:AY9" si="4">C5*C8</f>
        <v>0</v>
      </c>
      <c r="D9" s="18">
        <f t="shared" si="4"/>
        <v>2</v>
      </c>
      <c r="E9" s="18">
        <f t="shared" si="4"/>
        <v>16</v>
      </c>
      <c r="F9" s="18">
        <f t="shared" si="4"/>
        <v>11</v>
      </c>
      <c r="G9" s="18">
        <f t="shared" si="4"/>
        <v>0</v>
      </c>
      <c r="H9" s="18">
        <f t="shared" si="4"/>
        <v>0</v>
      </c>
      <c r="I9" s="18">
        <f t="shared" si="4"/>
        <v>40</v>
      </c>
      <c r="J9" s="18">
        <f t="shared" si="4"/>
        <v>92</v>
      </c>
      <c r="K9" s="18">
        <f t="shared" si="4"/>
        <v>0</v>
      </c>
      <c r="L9" s="18">
        <f t="shared" si="4"/>
        <v>0</v>
      </c>
      <c r="M9" s="18">
        <f t="shared" si="4"/>
        <v>0</v>
      </c>
      <c r="N9" s="18">
        <f t="shared" si="4"/>
        <v>82</v>
      </c>
      <c r="O9" s="18">
        <f t="shared" si="4"/>
        <v>2</v>
      </c>
      <c r="P9" s="18">
        <f t="shared" si="4"/>
        <v>111</v>
      </c>
      <c r="Q9" s="18">
        <f t="shared" si="4"/>
        <v>0</v>
      </c>
      <c r="R9" s="18">
        <f t="shared" si="4"/>
        <v>0</v>
      </c>
      <c r="S9" s="18">
        <f t="shared" si="4"/>
        <v>0</v>
      </c>
      <c r="T9" s="18">
        <f t="shared" si="4"/>
        <v>0</v>
      </c>
      <c r="U9" s="18">
        <f t="shared" si="4"/>
        <v>0</v>
      </c>
      <c r="V9" s="18">
        <f t="shared" si="4"/>
        <v>0</v>
      </c>
      <c r="W9" s="18">
        <f t="shared" si="4"/>
        <v>0</v>
      </c>
      <c r="X9" s="18">
        <f t="shared" si="4"/>
        <v>0</v>
      </c>
      <c r="Y9" s="18">
        <f t="shared" si="4"/>
        <v>0</v>
      </c>
      <c r="Z9" s="18">
        <f t="shared" si="4"/>
        <v>0</v>
      </c>
      <c r="AA9" s="18">
        <f t="shared" si="4"/>
        <v>0</v>
      </c>
      <c r="AB9" s="18">
        <f t="shared" si="4"/>
        <v>0</v>
      </c>
      <c r="AC9" s="18">
        <f t="shared" si="4"/>
        <v>0</v>
      </c>
      <c r="AD9" s="18">
        <f t="shared" si="4"/>
        <v>0</v>
      </c>
      <c r="AE9" s="18">
        <f t="shared" si="4"/>
        <v>0</v>
      </c>
      <c r="AF9" s="18">
        <f t="shared" si="4"/>
        <v>0</v>
      </c>
      <c r="AG9" s="18">
        <f t="shared" si="4"/>
        <v>0</v>
      </c>
      <c r="AH9" s="18">
        <f t="shared" si="4"/>
        <v>0</v>
      </c>
      <c r="AI9" s="18">
        <f t="shared" si="4"/>
        <v>0</v>
      </c>
      <c r="AJ9" s="18">
        <f t="shared" si="4"/>
        <v>0</v>
      </c>
      <c r="AK9" s="18">
        <f t="shared" si="4"/>
        <v>0</v>
      </c>
      <c r="AL9" s="18">
        <f t="shared" si="4"/>
        <v>0</v>
      </c>
      <c r="AM9" s="18">
        <f t="shared" si="4"/>
        <v>0</v>
      </c>
      <c r="AN9" s="18">
        <f t="shared" si="4"/>
        <v>0</v>
      </c>
      <c r="AO9" s="18">
        <f t="shared" si="4"/>
        <v>0</v>
      </c>
      <c r="AP9" s="18">
        <f t="shared" si="4"/>
        <v>0</v>
      </c>
      <c r="AQ9" s="18">
        <f t="shared" si="4"/>
        <v>0</v>
      </c>
      <c r="AR9" s="18">
        <f t="shared" si="4"/>
        <v>0</v>
      </c>
      <c r="AS9" s="18">
        <f t="shared" si="4"/>
        <v>0</v>
      </c>
      <c r="AT9" s="18">
        <f t="shared" si="4"/>
        <v>0</v>
      </c>
      <c r="AU9" s="18">
        <f t="shared" si="4"/>
        <v>0</v>
      </c>
      <c r="AV9" s="18">
        <f t="shared" si="4"/>
        <v>0</v>
      </c>
      <c r="AW9" s="18">
        <f t="shared" si="4"/>
        <v>0</v>
      </c>
      <c r="AX9" s="18">
        <f t="shared" si="4"/>
        <v>0</v>
      </c>
      <c r="AY9" s="18">
        <f t="shared" si="4"/>
        <v>0</v>
      </c>
    </row>
    <row r="10" spans="1:51" x14ac:dyDescent="0.25">
      <c r="A10" s="19" t="s">
        <v>21</v>
      </c>
      <c r="B10">
        <f>IF(B7-B4&gt;0,1,0)</f>
        <v>0</v>
      </c>
      <c r="C10">
        <f t="shared" ref="C10:AY10" si="5">IF(C7-C4&gt;0,1,0)</f>
        <v>0</v>
      </c>
      <c r="D10">
        <f t="shared" si="5"/>
        <v>0</v>
      </c>
      <c r="E10">
        <f t="shared" si="5"/>
        <v>1</v>
      </c>
      <c r="F10">
        <f t="shared" si="5"/>
        <v>0</v>
      </c>
      <c r="G10">
        <f t="shared" si="5"/>
        <v>0</v>
      </c>
      <c r="H10">
        <f t="shared" si="5"/>
        <v>0</v>
      </c>
      <c r="I10">
        <f t="shared" si="5"/>
        <v>1</v>
      </c>
      <c r="J10">
        <f t="shared" si="5"/>
        <v>1</v>
      </c>
      <c r="K10">
        <f t="shared" si="5"/>
        <v>0</v>
      </c>
      <c r="L10">
        <f t="shared" si="5"/>
        <v>0</v>
      </c>
      <c r="M10">
        <f t="shared" si="5"/>
        <v>0</v>
      </c>
      <c r="N10">
        <f t="shared" si="5"/>
        <v>1</v>
      </c>
      <c r="O10">
        <f t="shared" si="5"/>
        <v>0</v>
      </c>
      <c r="P10">
        <f t="shared" si="5"/>
        <v>1</v>
      </c>
      <c r="Q10">
        <f t="shared" si="5"/>
        <v>1</v>
      </c>
      <c r="R10">
        <f t="shared" si="5"/>
        <v>1</v>
      </c>
      <c r="S10">
        <f t="shared" si="5"/>
        <v>1</v>
      </c>
      <c r="T10">
        <f t="shared" si="5"/>
        <v>1</v>
      </c>
      <c r="U10">
        <f t="shared" si="5"/>
        <v>1</v>
      </c>
      <c r="V10">
        <f t="shared" si="5"/>
        <v>1</v>
      </c>
      <c r="W10">
        <f t="shared" si="5"/>
        <v>1</v>
      </c>
      <c r="X10">
        <f t="shared" si="5"/>
        <v>1</v>
      </c>
      <c r="Y10">
        <f t="shared" si="5"/>
        <v>1</v>
      </c>
      <c r="Z10">
        <f t="shared" si="5"/>
        <v>1</v>
      </c>
      <c r="AA10">
        <f t="shared" si="5"/>
        <v>1</v>
      </c>
      <c r="AB10">
        <f t="shared" si="5"/>
        <v>1</v>
      </c>
      <c r="AC10">
        <f t="shared" si="5"/>
        <v>1</v>
      </c>
      <c r="AD10">
        <f t="shared" si="5"/>
        <v>1</v>
      </c>
      <c r="AE10">
        <f t="shared" si="5"/>
        <v>1</v>
      </c>
      <c r="AF10">
        <f t="shared" si="5"/>
        <v>1</v>
      </c>
      <c r="AG10">
        <f t="shared" si="5"/>
        <v>1</v>
      </c>
      <c r="AH10">
        <f t="shared" si="5"/>
        <v>1</v>
      </c>
      <c r="AI10">
        <f t="shared" si="5"/>
        <v>1</v>
      </c>
      <c r="AJ10">
        <f t="shared" si="5"/>
        <v>1</v>
      </c>
      <c r="AK10">
        <f t="shared" si="5"/>
        <v>1</v>
      </c>
      <c r="AL10">
        <f t="shared" si="5"/>
        <v>1</v>
      </c>
      <c r="AM10">
        <f t="shared" si="5"/>
        <v>1</v>
      </c>
      <c r="AN10">
        <f t="shared" si="5"/>
        <v>1</v>
      </c>
      <c r="AO10">
        <f t="shared" si="5"/>
        <v>1</v>
      </c>
      <c r="AP10">
        <f t="shared" si="5"/>
        <v>1</v>
      </c>
      <c r="AQ10">
        <f t="shared" si="5"/>
        <v>1</v>
      </c>
      <c r="AR10">
        <f t="shared" si="5"/>
        <v>1</v>
      </c>
      <c r="AS10">
        <f t="shared" si="5"/>
        <v>1</v>
      </c>
      <c r="AT10">
        <f t="shared" si="5"/>
        <v>1</v>
      </c>
      <c r="AU10">
        <f t="shared" si="5"/>
        <v>1</v>
      </c>
      <c r="AV10">
        <f t="shared" si="5"/>
        <v>1</v>
      </c>
      <c r="AW10">
        <f t="shared" si="5"/>
        <v>1</v>
      </c>
      <c r="AX10">
        <f t="shared" si="5"/>
        <v>1</v>
      </c>
      <c r="AY10">
        <f t="shared" si="5"/>
        <v>1</v>
      </c>
    </row>
  </sheetData>
  <sortState xmlns:xlrd2="http://schemas.microsoft.com/office/spreadsheetml/2017/richdata2" columnSort="1" ref="B1:F6">
    <sortCondition ref="B6:F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61F8C-D1D0-4E40-9EE0-5879DB408633}">
  <sheetPr codeName="Sheet2"/>
  <dimension ref="A1:AY10"/>
  <sheetViews>
    <sheetView zoomScale="130" zoomScaleNormal="130" workbookViewId="0">
      <selection activeCell="B1" sqref="B1:F6"/>
    </sheetView>
  </sheetViews>
  <sheetFormatPr defaultRowHeight="15" x14ac:dyDescent="0.25"/>
  <cols>
    <col min="1" max="1" width="19.7109375" bestFit="1" customWidth="1"/>
  </cols>
  <sheetData>
    <row r="1" spans="1:51" x14ac:dyDescent="0.25">
      <c r="A1" s="8"/>
      <c r="B1" s="9">
        <v>2</v>
      </c>
      <c r="C1" s="9">
        <v>4</v>
      </c>
      <c r="D1" s="9">
        <v>5</v>
      </c>
      <c r="E1" s="9">
        <v>1</v>
      </c>
      <c r="F1" s="9">
        <v>3</v>
      </c>
      <c r="G1" s="9">
        <v>8</v>
      </c>
      <c r="H1" s="9">
        <v>12</v>
      </c>
      <c r="I1" s="9">
        <v>3</v>
      </c>
      <c r="J1" s="9">
        <v>6</v>
      </c>
      <c r="K1" s="9">
        <v>7</v>
      </c>
      <c r="L1" s="9">
        <v>10</v>
      </c>
      <c r="M1" s="9">
        <v>15</v>
      </c>
      <c r="N1" s="9">
        <v>11</v>
      </c>
      <c r="O1" s="9">
        <v>13</v>
      </c>
      <c r="P1" s="9">
        <v>14</v>
      </c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x14ac:dyDescent="0.25">
      <c r="A2" s="12"/>
      <c r="B2" s="14">
        <v>10</v>
      </c>
      <c r="C2" s="14">
        <v>4</v>
      </c>
      <c r="D2" s="14">
        <v>3</v>
      </c>
      <c r="E2" s="14">
        <v>5</v>
      </c>
      <c r="F2" s="14">
        <v>7</v>
      </c>
      <c r="G2" s="14">
        <v>10</v>
      </c>
      <c r="H2" s="14">
        <v>14</v>
      </c>
      <c r="I2" s="14">
        <v>7</v>
      </c>
      <c r="J2" s="14">
        <v>12</v>
      </c>
      <c r="K2" s="14">
        <v>13</v>
      </c>
      <c r="L2" s="14">
        <v>15</v>
      </c>
      <c r="M2" s="14">
        <v>12</v>
      </c>
      <c r="N2" s="14">
        <v>7</v>
      </c>
      <c r="O2" s="14">
        <v>6</v>
      </c>
      <c r="P2" s="14">
        <v>4</v>
      </c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8"/>
      <c r="AQ2" s="18"/>
      <c r="AR2" s="18"/>
      <c r="AS2" s="18"/>
      <c r="AT2" s="18"/>
      <c r="AU2" s="18"/>
      <c r="AV2" s="18"/>
      <c r="AW2" s="18"/>
      <c r="AX2" s="18"/>
      <c r="AY2" s="18"/>
    </row>
    <row r="3" spans="1:51" x14ac:dyDescent="0.25">
      <c r="A3" s="12"/>
      <c r="B3" s="14">
        <v>14</v>
      </c>
      <c r="C3" s="14">
        <v>22</v>
      </c>
      <c r="D3" s="14">
        <v>24</v>
      </c>
      <c r="E3" s="14">
        <v>10</v>
      </c>
      <c r="F3" s="14">
        <v>18</v>
      </c>
      <c r="G3" s="14">
        <v>59</v>
      </c>
      <c r="H3" s="14">
        <v>52</v>
      </c>
      <c r="I3" s="14">
        <v>18</v>
      </c>
      <c r="J3" s="14">
        <v>54</v>
      </c>
      <c r="K3" s="14">
        <v>9</v>
      </c>
      <c r="L3" s="14">
        <v>130</v>
      </c>
      <c r="M3" s="14">
        <v>118</v>
      </c>
      <c r="N3" s="14">
        <v>105</v>
      </c>
      <c r="O3" s="14">
        <v>115</v>
      </c>
      <c r="P3" s="14">
        <v>118</v>
      </c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8"/>
      <c r="AQ3" s="18"/>
      <c r="AR3" s="18"/>
      <c r="AS3" s="18"/>
      <c r="AT3" s="18"/>
      <c r="AU3" s="18"/>
      <c r="AV3" s="18"/>
      <c r="AW3" s="18"/>
      <c r="AX3" s="18"/>
      <c r="AY3" s="18"/>
    </row>
    <row r="4" spans="1:51" x14ac:dyDescent="0.25">
      <c r="A4" s="12"/>
      <c r="B4" s="14">
        <v>16</v>
      </c>
      <c r="C4" s="14">
        <v>26</v>
      </c>
      <c r="D4" s="14">
        <v>28</v>
      </c>
      <c r="E4" s="14">
        <v>18</v>
      </c>
      <c r="F4" s="14">
        <v>30</v>
      </c>
      <c r="G4" s="14">
        <v>133</v>
      </c>
      <c r="H4" s="14">
        <v>121</v>
      </c>
      <c r="I4" s="14">
        <v>30</v>
      </c>
      <c r="J4" s="14">
        <v>91</v>
      </c>
      <c r="K4" s="14">
        <v>67</v>
      </c>
      <c r="L4" s="14">
        <v>183</v>
      </c>
      <c r="M4" s="14">
        <v>153</v>
      </c>
      <c r="N4" s="14">
        <v>141</v>
      </c>
      <c r="O4" s="14">
        <v>140</v>
      </c>
      <c r="P4" s="14">
        <v>171</v>
      </c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8"/>
      <c r="AQ4" s="18"/>
      <c r="AR4" s="18"/>
      <c r="AS4" s="18"/>
      <c r="AT4" s="18"/>
      <c r="AU4" s="18"/>
      <c r="AV4" s="18"/>
      <c r="AW4" s="18"/>
      <c r="AX4" s="18"/>
      <c r="AY4" s="18"/>
    </row>
    <row r="5" spans="1:51" x14ac:dyDescent="0.25">
      <c r="A5" s="12"/>
      <c r="B5" s="14">
        <v>2</v>
      </c>
      <c r="C5" s="14">
        <v>3</v>
      </c>
      <c r="D5" s="14">
        <v>3</v>
      </c>
      <c r="E5" s="14">
        <v>1</v>
      </c>
      <c r="F5" s="14">
        <v>1</v>
      </c>
      <c r="G5" s="14">
        <v>5</v>
      </c>
      <c r="H5" s="14">
        <v>4</v>
      </c>
      <c r="I5" s="14">
        <v>1</v>
      </c>
      <c r="J5" s="14">
        <v>3</v>
      </c>
      <c r="K5" s="14">
        <v>1</v>
      </c>
      <c r="L5" s="14">
        <v>3</v>
      </c>
      <c r="M5" s="14">
        <v>2</v>
      </c>
      <c r="N5" s="14">
        <v>1</v>
      </c>
      <c r="O5" s="14">
        <v>1</v>
      </c>
      <c r="P5" s="14">
        <v>1</v>
      </c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8"/>
      <c r="AQ5" s="18"/>
      <c r="AR5" s="18"/>
      <c r="AS5" s="18"/>
      <c r="AT5" s="18"/>
      <c r="AU5" s="18"/>
      <c r="AV5" s="18"/>
      <c r="AW5" s="18"/>
      <c r="AX5" s="18"/>
      <c r="AY5" s="18"/>
    </row>
    <row r="6" spans="1:51" x14ac:dyDescent="0.25">
      <c r="A6" s="8" t="s">
        <v>20</v>
      </c>
      <c r="B6" s="18">
        <f>(B3+B4)/B5</f>
        <v>15</v>
      </c>
      <c r="C6" s="18">
        <f>(C3+C4)/C5</f>
        <v>16</v>
      </c>
      <c r="D6" s="18">
        <f>(D3+D4)/D5</f>
        <v>17.333333333333332</v>
      </c>
      <c r="E6" s="18">
        <f>(E3+E4)/E5</f>
        <v>28</v>
      </c>
      <c r="F6" s="18">
        <f>(F3+F4)/F5</f>
        <v>48</v>
      </c>
      <c r="G6" s="18">
        <f>(G3+G4)/G5</f>
        <v>38.4</v>
      </c>
      <c r="H6" s="18">
        <f>(H3+H4)/H5</f>
        <v>43.25</v>
      </c>
      <c r="I6" s="18">
        <f>(I3+I4)/I5</f>
        <v>48</v>
      </c>
      <c r="J6" s="18">
        <f>(J3+J4)/J5</f>
        <v>48.333333333333336</v>
      </c>
      <c r="K6" s="18">
        <f>(K3+K4)/K5</f>
        <v>76</v>
      </c>
      <c r="L6" s="18">
        <f>(L3+L4)/L5</f>
        <v>104.33333333333333</v>
      </c>
      <c r="M6" s="18">
        <f>(M3+M4)/M5</f>
        <v>135.5</v>
      </c>
      <c r="N6" s="18">
        <f>(N3+N4)/N5</f>
        <v>246</v>
      </c>
      <c r="O6" s="18">
        <f>(O3+O4)/O5</f>
        <v>255</v>
      </c>
      <c r="P6" s="18">
        <f>(P3+P4)/P5</f>
        <v>289</v>
      </c>
      <c r="Q6" s="18" t="e">
        <f t="shared" ref="Q6:AY6" si="0">(Q3+Q4)/Q5</f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</row>
    <row r="7" spans="1:51" x14ac:dyDescent="0.25">
      <c r="A7" s="8" t="s">
        <v>17</v>
      </c>
      <c r="B7" s="18">
        <f>B2</f>
        <v>10</v>
      </c>
      <c r="C7" s="18">
        <f>B7+C2</f>
        <v>14</v>
      </c>
      <c r="D7" s="18">
        <f t="shared" ref="D7:AY7" si="1">C7+D2</f>
        <v>17</v>
      </c>
      <c r="E7" s="18">
        <f t="shared" si="1"/>
        <v>22</v>
      </c>
      <c r="F7" s="18">
        <f t="shared" si="1"/>
        <v>29</v>
      </c>
      <c r="G7" s="18">
        <f t="shared" si="1"/>
        <v>39</v>
      </c>
      <c r="H7" s="18">
        <f t="shared" si="1"/>
        <v>53</v>
      </c>
      <c r="I7" s="18">
        <f t="shared" si="1"/>
        <v>60</v>
      </c>
      <c r="J7" s="18">
        <f t="shared" si="1"/>
        <v>72</v>
      </c>
      <c r="K7" s="18">
        <f t="shared" si="1"/>
        <v>85</v>
      </c>
      <c r="L7" s="18">
        <f t="shared" si="1"/>
        <v>100</v>
      </c>
      <c r="M7" s="18">
        <f t="shared" si="1"/>
        <v>112</v>
      </c>
      <c r="N7" s="18">
        <f t="shared" si="1"/>
        <v>119</v>
      </c>
      <c r="O7" s="18">
        <f t="shared" si="1"/>
        <v>125</v>
      </c>
      <c r="P7" s="18">
        <f t="shared" si="1"/>
        <v>129</v>
      </c>
      <c r="Q7" s="18">
        <f t="shared" si="1"/>
        <v>129</v>
      </c>
      <c r="R7" s="18">
        <f t="shared" si="1"/>
        <v>129</v>
      </c>
      <c r="S7" s="18">
        <f t="shared" si="1"/>
        <v>129</v>
      </c>
      <c r="T7" s="18">
        <f t="shared" si="1"/>
        <v>129</v>
      </c>
      <c r="U7" s="18">
        <f t="shared" si="1"/>
        <v>129</v>
      </c>
      <c r="V7" s="18">
        <f t="shared" si="1"/>
        <v>129</v>
      </c>
      <c r="W7" s="18">
        <f t="shared" si="1"/>
        <v>129</v>
      </c>
      <c r="X7" s="18">
        <f t="shared" si="1"/>
        <v>129</v>
      </c>
      <c r="Y7" s="18">
        <f t="shared" si="1"/>
        <v>129</v>
      </c>
      <c r="Z7" s="18">
        <f t="shared" si="1"/>
        <v>129</v>
      </c>
      <c r="AA7" s="18">
        <f t="shared" si="1"/>
        <v>129</v>
      </c>
      <c r="AB7" s="18">
        <f t="shared" si="1"/>
        <v>129</v>
      </c>
      <c r="AC7" s="18">
        <f t="shared" si="1"/>
        <v>129</v>
      </c>
      <c r="AD7" s="18">
        <f t="shared" si="1"/>
        <v>129</v>
      </c>
      <c r="AE7" s="18">
        <f t="shared" si="1"/>
        <v>129</v>
      </c>
      <c r="AF7" s="18">
        <f t="shared" si="1"/>
        <v>129</v>
      </c>
      <c r="AG7" s="18">
        <f t="shared" si="1"/>
        <v>129</v>
      </c>
      <c r="AH7" s="18">
        <f t="shared" si="1"/>
        <v>129</v>
      </c>
      <c r="AI7" s="18">
        <f t="shared" si="1"/>
        <v>129</v>
      </c>
      <c r="AJ7" s="18">
        <f t="shared" si="1"/>
        <v>129</v>
      </c>
      <c r="AK7" s="18">
        <f t="shared" si="1"/>
        <v>129</v>
      </c>
      <c r="AL7" s="18">
        <f t="shared" si="1"/>
        <v>129</v>
      </c>
      <c r="AM7" s="18">
        <f t="shared" si="1"/>
        <v>129</v>
      </c>
      <c r="AN7" s="18">
        <f t="shared" si="1"/>
        <v>129</v>
      </c>
      <c r="AO7" s="18">
        <f t="shared" si="1"/>
        <v>129</v>
      </c>
      <c r="AP7" s="18">
        <f t="shared" si="1"/>
        <v>129</v>
      </c>
      <c r="AQ7" s="18">
        <f t="shared" si="1"/>
        <v>129</v>
      </c>
      <c r="AR7" s="18">
        <f t="shared" si="1"/>
        <v>129</v>
      </c>
      <c r="AS7" s="18">
        <f t="shared" si="1"/>
        <v>129</v>
      </c>
      <c r="AT7" s="18">
        <f t="shared" si="1"/>
        <v>129</v>
      </c>
      <c r="AU7" s="18">
        <f t="shared" si="1"/>
        <v>129</v>
      </c>
      <c r="AV7" s="18">
        <f t="shared" si="1"/>
        <v>129</v>
      </c>
      <c r="AW7" s="18">
        <f t="shared" si="1"/>
        <v>129</v>
      </c>
      <c r="AX7" s="18">
        <f t="shared" si="1"/>
        <v>129</v>
      </c>
      <c r="AY7" s="18">
        <f t="shared" si="1"/>
        <v>129</v>
      </c>
    </row>
    <row r="8" spans="1:51" x14ac:dyDescent="0.25">
      <c r="A8" s="8" t="s">
        <v>18</v>
      </c>
      <c r="B8" s="18">
        <f>MAX(0,B7-B3)</f>
        <v>0</v>
      </c>
      <c r="C8" s="18">
        <f t="shared" ref="C8:AY8" si="2">MAX(0,C7-C3)</f>
        <v>0</v>
      </c>
      <c r="D8" s="18">
        <f t="shared" si="2"/>
        <v>0</v>
      </c>
      <c r="E8" s="18">
        <f t="shared" si="2"/>
        <v>12</v>
      </c>
      <c r="F8" s="18">
        <f t="shared" si="2"/>
        <v>11</v>
      </c>
      <c r="G8" s="18">
        <f t="shared" si="2"/>
        <v>0</v>
      </c>
      <c r="H8" s="18">
        <f t="shared" si="2"/>
        <v>1</v>
      </c>
      <c r="I8" s="18">
        <f t="shared" si="2"/>
        <v>42</v>
      </c>
      <c r="J8" s="18">
        <f t="shared" si="2"/>
        <v>18</v>
      </c>
      <c r="K8" s="18">
        <f t="shared" si="2"/>
        <v>76</v>
      </c>
      <c r="L8" s="18">
        <f t="shared" si="2"/>
        <v>0</v>
      </c>
      <c r="M8" s="18">
        <f t="shared" si="2"/>
        <v>0</v>
      </c>
      <c r="N8" s="18">
        <f t="shared" si="2"/>
        <v>14</v>
      </c>
      <c r="O8" s="18">
        <f t="shared" si="2"/>
        <v>10</v>
      </c>
      <c r="P8" s="18">
        <f t="shared" si="2"/>
        <v>11</v>
      </c>
      <c r="Q8" s="18">
        <f t="shared" si="2"/>
        <v>129</v>
      </c>
      <c r="R8" s="18">
        <f t="shared" si="2"/>
        <v>129</v>
      </c>
      <c r="S8" s="18">
        <f t="shared" si="2"/>
        <v>129</v>
      </c>
      <c r="T8" s="18">
        <f t="shared" si="2"/>
        <v>129</v>
      </c>
      <c r="U8" s="18">
        <f t="shared" si="2"/>
        <v>129</v>
      </c>
      <c r="V8" s="18">
        <f t="shared" si="2"/>
        <v>129</v>
      </c>
      <c r="W8" s="18">
        <f t="shared" si="2"/>
        <v>129</v>
      </c>
      <c r="X8" s="18">
        <f t="shared" si="2"/>
        <v>129</v>
      </c>
      <c r="Y8" s="18">
        <f t="shared" si="2"/>
        <v>129</v>
      </c>
      <c r="Z8" s="18">
        <f t="shared" si="2"/>
        <v>129</v>
      </c>
      <c r="AA8" s="18">
        <f t="shared" si="2"/>
        <v>129</v>
      </c>
      <c r="AB8" s="18">
        <f t="shared" si="2"/>
        <v>129</v>
      </c>
      <c r="AC8" s="18">
        <f t="shared" si="2"/>
        <v>129</v>
      </c>
      <c r="AD8" s="18">
        <f t="shared" si="2"/>
        <v>129</v>
      </c>
      <c r="AE8" s="18">
        <f t="shared" si="2"/>
        <v>129</v>
      </c>
      <c r="AF8" s="18">
        <f t="shared" si="2"/>
        <v>129</v>
      </c>
      <c r="AG8" s="18">
        <f t="shared" si="2"/>
        <v>129</v>
      </c>
      <c r="AH8" s="18">
        <f t="shared" si="2"/>
        <v>129</v>
      </c>
      <c r="AI8" s="18">
        <f t="shared" si="2"/>
        <v>129</v>
      </c>
      <c r="AJ8" s="18">
        <f t="shared" si="2"/>
        <v>129</v>
      </c>
      <c r="AK8" s="18">
        <f t="shared" si="2"/>
        <v>129</v>
      </c>
      <c r="AL8" s="18">
        <f t="shared" si="2"/>
        <v>129</v>
      </c>
      <c r="AM8" s="18">
        <f t="shared" si="2"/>
        <v>129</v>
      </c>
      <c r="AN8" s="18">
        <f t="shared" si="2"/>
        <v>129</v>
      </c>
      <c r="AO8" s="18">
        <f t="shared" si="2"/>
        <v>129</v>
      </c>
      <c r="AP8" s="18">
        <f t="shared" si="2"/>
        <v>129</v>
      </c>
      <c r="AQ8" s="18">
        <f t="shared" si="2"/>
        <v>129</v>
      </c>
      <c r="AR8" s="18">
        <f t="shared" si="2"/>
        <v>129</v>
      </c>
      <c r="AS8" s="18">
        <f t="shared" si="2"/>
        <v>129</v>
      </c>
      <c r="AT8" s="18">
        <f t="shared" si="2"/>
        <v>129</v>
      </c>
      <c r="AU8" s="18">
        <f t="shared" si="2"/>
        <v>129</v>
      </c>
      <c r="AV8" s="18">
        <f t="shared" si="2"/>
        <v>129</v>
      </c>
      <c r="AW8" s="18">
        <f t="shared" si="2"/>
        <v>129</v>
      </c>
      <c r="AX8" s="18">
        <f t="shared" si="2"/>
        <v>129</v>
      </c>
      <c r="AY8" s="18">
        <f t="shared" si="2"/>
        <v>129</v>
      </c>
    </row>
    <row r="9" spans="1:51" x14ac:dyDescent="0.25">
      <c r="A9" s="8" t="s">
        <v>19</v>
      </c>
      <c r="B9" s="18">
        <f>B5*B8</f>
        <v>0</v>
      </c>
      <c r="C9" s="18">
        <f t="shared" ref="C9:AY9" si="3">C5*C8</f>
        <v>0</v>
      </c>
      <c r="D9" s="18">
        <f t="shared" si="3"/>
        <v>0</v>
      </c>
      <c r="E9" s="18">
        <f t="shared" si="3"/>
        <v>12</v>
      </c>
      <c r="F9" s="18">
        <f t="shared" si="3"/>
        <v>11</v>
      </c>
      <c r="G9" s="18">
        <f t="shared" si="3"/>
        <v>0</v>
      </c>
      <c r="H9" s="18">
        <f t="shared" si="3"/>
        <v>4</v>
      </c>
      <c r="I9" s="18">
        <f t="shared" si="3"/>
        <v>42</v>
      </c>
      <c r="J9" s="18">
        <f t="shared" si="3"/>
        <v>54</v>
      </c>
      <c r="K9" s="18">
        <f t="shared" si="3"/>
        <v>76</v>
      </c>
      <c r="L9" s="18">
        <f t="shared" si="3"/>
        <v>0</v>
      </c>
      <c r="M9" s="18">
        <f t="shared" si="3"/>
        <v>0</v>
      </c>
      <c r="N9" s="18">
        <f t="shared" si="3"/>
        <v>14</v>
      </c>
      <c r="O9" s="18">
        <f t="shared" si="3"/>
        <v>10</v>
      </c>
      <c r="P9" s="18">
        <f t="shared" si="3"/>
        <v>11</v>
      </c>
      <c r="Q9" s="18">
        <f t="shared" si="3"/>
        <v>0</v>
      </c>
      <c r="R9" s="18">
        <f t="shared" si="3"/>
        <v>0</v>
      </c>
      <c r="S9" s="18">
        <f t="shared" si="3"/>
        <v>0</v>
      </c>
      <c r="T9" s="18">
        <f t="shared" si="3"/>
        <v>0</v>
      </c>
      <c r="U9" s="18">
        <f t="shared" si="3"/>
        <v>0</v>
      </c>
      <c r="V9" s="18">
        <f t="shared" si="3"/>
        <v>0</v>
      </c>
      <c r="W9" s="18">
        <f t="shared" si="3"/>
        <v>0</v>
      </c>
      <c r="X9" s="18">
        <f t="shared" si="3"/>
        <v>0</v>
      </c>
      <c r="Y9" s="18">
        <f t="shared" si="3"/>
        <v>0</v>
      </c>
      <c r="Z9" s="18">
        <f t="shared" si="3"/>
        <v>0</v>
      </c>
      <c r="AA9" s="18">
        <f t="shared" si="3"/>
        <v>0</v>
      </c>
      <c r="AB9" s="18">
        <f t="shared" si="3"/>
        <v>0</v>
      </c>
      <c r="AC9" s="18">
        <f t="shared" si="3"/>
        <v>0</v>
      </c>
      <c r="AD9" s="18">
        <f t="shared" si="3"/>
        <v>0</v>
      </c>
      <c r="AE9" s="18">
        <f t="shared" si="3"/>
        <v>0</v>
      </c>
      <c r="AF9" s="18">
        <f t="shared" si="3"/>
        <v>0</v>
      </c>
      <c r="AG9" s="18">
        <f t="shared" si="3"/>
        <v>0</v>
      </c>
      <c r="AH9" s="18">
        <f t="shared" si="3"/>
        <v>0</v>
      </c>
      <c r="AI9" s="18">
        <f t="shared" si="3"/>
        <v>0</v>
      </c>
      <c r="AJ9" s="18">
        <f t="shared" si="3"/>
        <v>0</v>
      </c>
      <c r="AK9" s="18">
        <f t="shared" si="3"/>
        <v>0</v>
      </c>
      <c r="AL9" s="18">
        <f t="shared" si="3"/>
        <v>0</v>
      </c>
      <c r="AM9" s="18">
        <f t="shared" si="3"/>
        <v>0</v>
      </c>
      <c r="AN9" s="18">
        <f t="shared" si="3"/>
        <v>0</v>
      </c>
      <c r="AO9" s="18">
        <f t="shared" si="3"/>
        <v>0</v>
      </c>
      <c r="AP9" s="18">
        <f t="shared" si="3"/>
        <v>0</v>
      </c>
      <c r="AQ9" s="18">
        <f t="shared" si="3"/>
        <v>0</v>
      </c>
      <c r="AR9" s="18">
        <f t="shared" si="3"/>
        <v>0</v>
      </c>
      <c r="AS9" s="18">
        <f t="shared" si="3"/>
        <v>0</v>
      </c>
      <c r="AT9" s="18">
        <f t="shared" si="3"/>
        <v>0</v>
      </c>
      <c r="AU9" s="18">
        <f t="shared" si="3"/>
        <v>0</v>
      </c>
      <c r="AV9" s="18">
        <f t="shared" si="3"/>
        <v>0</v>
      </c>
      <c r="AW9" s="18">
        <f t="shared" si="3"/>
        <v>0</v>
      </c>
      <c r="AX9" s="18">
        <f t="shared" si="3"/>
        <v>0</v>
      </c>
      <c r="AY9" s="18">
        <f t="shared" si="3"/>
        <v>0</v>
      </c>
    </row>
    <row r="10" spans="1:51" x14ac:dyDescent="0.25">
      <c r="A10" s="19" t="s">
        <v>21</v>
      </c>
      <c r="B10">
        <f>IF(B7-B4&gt;0,1,0)</f>
        <v>0</v>
      </c>
      <c r="C10">
        <f t="shared" ref="C10:AY10" si="4">IF(C7-C4&gt;0,1,0)</f>
        <v>0</v>
      </c>
      <c r="D10">
        <f t="shared" si="4"/>
        <v>0</v>
      </c>
      <c r="E10">
        <f t="shared" si="4"/>
        <v>1</v>
      </c>
      <c r="F10">
        <f t="shared" si="4"/>
        <v>0</v>
      </c>
      <c r="G10">
        <f t="shared" si="4"/>
        <v>0</v>
      </c>
      <c r="H10">
        <f t="shared" si="4"/>
        <v>0</v>
      </c>
      <c r="I10">
        <f t="shared" si="4"/>
        <v>1</v>
      </c>
      <c r="J10">
        <f t="shared" si="4"/>
        <v>0</v>
      </c>
      <c r="K10">
        <f t="shared" si="4"/>
        <v>1</v>
      </c>
      <c r="L10">
        <f t="shared" si="4"/>
        <v>0</v>
      </c>
      <c r="M10">
        <f t="shared" si="4"/>
        <v>0</v>
      </c>
      <c r="N10">
        <f t="shared" si="4"/>
        <v>0</v>
      </c>
      <c r="O10">
        <f t="shared" si="4"/>
        <v>0</v>
      </c>
      <c r="P10">
        <f t="shared" si="4"/>
        <v>0</v>
      </c>
      <c r="Q10">
        <f t="shared" si="4"/>
        <v>1</v>
      </c>
      <c r="R10">
        <f t="shared" si="4"/>
        <v>1</v>
      </c>
      <c r="S10">
        <f t="shared" si="4"/>
        <v>1</v>
      </c>
      <c r="T10">
        <f t="shared" si="4"/>
        <v>1</v>
      </c>
      <c r="U10">
        <f t="shared" si="4"/>
        <v>1</v>
      </c>
      <c r="V10">
        <f t="shared" si="4"/>
        <v>1</v>
      </c>
      <c r="W10">
        <f t="shared" si="4"/>
        <v>1</v>
      </c>
      <c r="X10">
        <f t="shared" si="4"/>
        <v>1</v>
      </c>
      <c r="Y10">
        <f t="shared" si="4"/>
        <v>1</v>
      </c>
      <c r="Z10">
        <f t="shared" si="4"/>
        <v>1</v>
      </c>
      <c r="AA10">
        <f t="shared" si="4"/>
        <v>1</v>
      </c>
      <c r="AB10">
        <f t="shared" si="4"/>
        <v>1</v>
      </c>
      <c r="AC10">
        <f t="shared" si="4"/>
        <v>1</v>
      </c>
      <c r="AD10">
        <f t="shared" si="4"/>
        <v>1</v>
      </c>
      <c r="AE10">
        <f t="shared" si="4"/>
        <v>1</v>
      </c>
      <c r="AF10">
        <f t="shared" si="4"/>
        <v>1</v>
      </c>
      <c r="AG10">
        <f t="shared" si="4"/>
        <v>1</v>
      </c>
      <c r="AH10">
        <f t="shared" si="4"/>
        <v>1</v>
      </c>
      <c r="AI10">
        <f t="shared" si="4"/>
        <v>1</v>
      </c>
      <c r="AJ10">
        <f t="shared" si="4"/>
        <v>1</v>
      </c>
      <c r="AK10">
        <f t="shared" si="4"/>
        <v>1</v>
      </c>
      <c r="AL10">
        <f t="shared" si="4"/>
        <v>1</v>
      </c>
      <c r="AM10">
        <f t="shared" si="4"/>
        <v>1</v>
      </c>
      <c r="AN10">
        <f t="shared" si="4"/>
        <v>1</v>
      </c>
      <c r="AO10">
        <f t="shared" si="4"/>
        <v>1</v>
      </c>
      <c r="AP10">
        <f t="shared" si="4"/>
        <v>1</v>
      </c>
      <c r="AQ10">
        <f t="shared" si="4"/>
        <v>1</v>
      </c>
      <c r="AR10">
        <f t="shared" si="4"/>
        <v>1</v>
      </c>
      <c r="AS10">
        <f t="shared" si="4"/>
        <v>1</v>
      </c>
      <c r="AT10">
        <f t="shared" si="4"/>
        <v>1</v>
      </c>
      <c r="AU10">
        <f t="shared" si="4"/>
        <v>1</v>
      </c>
      <c r="AV10">
        <f t="shared" si="4"/>
        <v>1</v>
      </c>
      <c r="AW10">
        <f t="shared" si="4"/>
        <v>1</v>
      </c>
      <c r="AX10">
        <f t="shared" si="4"/>
        <v>1</v>
      </c>
      <c r="AY10">
        <f t="shared" si="4"/>
        <v>1</v>
      </c>
    </row>
  </sheetData>
  <sortState xmlns:xlrd2="http://schemas.microsoft.com/office/spreadsheetml/2017/richdata2" columnSort="1" ref="B1:F6">
    <sortCondition ref="B6:F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Input-Output</vt:lpstr>
      <vt:lpstr>NotNecessarily</vt:lpstr>
      <vt:lpstr>BranchBound</vt:lpstr>
      <vt:lpstr>DecisionCheck</vt:lpstr>
      <vt:lpstr>WSPT</vt:lpstr>
      <vt:lpstr>dj+dj'wj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Liran Politi</dc:creator>
  <cp:lastModifiedBy>Ibrahim Mbarky</cp:lastModifiedBy>
  <dcterms:created xsi:type="dcterms:W3CDTF">2012-10-11T11:09:58Z</dcterms:created>
  <dcterms:modified xsi:type="dcterms:W3CDTF">2024-02-25T21:15:20Z</dcterms:modified>
</cp:coreProperties>
</file>